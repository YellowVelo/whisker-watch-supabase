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v\whisker-watch-supabase\docs\planning\"/>
    </mc:Choice>
  </mc:AlternateContent>
  <xr:revisionPtr revIDLastSave="0" documentId="13_ncr:1_{6B71B355-990A-44F1-A571-0B9F0B69FF0D}" xr6:coauthVersionLast="47" xr6:coauthVersionMax="47" xr10:uidLastSave="{00000000-0000-0000-0000-000000000000}"/>
  <bookViews>
    <workbookView xWindow="-110" yWindow="-110" windowWidth="19420" windowHeight="10300" activeTab="1" xr2:uid="{00000000-000D-0000-FFFF-FFFF00000000}"/>
  </bookViews>
  <sheets>
    <sheet name="Executive Dashboard" sheetId="1" r:id="rId1"/>
    <sheet name="Launch Plan" sheetId="2" r:id="rId2"/>
    <sheet name="Pre-Alpha Audit" sheetId="3" r:id="rId7"/>
  </sheets>
  <definedNames>
    <definedName name="_xlnm._FilterDatabase" localSheetId="2" hidden="1">'Pre-Alpha Audit'!$A$4:$K$53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 i="1" l="1"/>
  <c r="E75" i="1"/>
  <c r="D75" i="1"/>
  <c r="C75" i="1"/>
  <c r="F74" i="1"/>
  <c r="E74" i="1"/>
  <c r="D74" i="1"/>
  <c r="C74" i="1"/>
  <c r="F73" i="1"/>
  <c r="E73" i="1"/>
  <c r="D73" i="1"/>
  <c r="G73" i="1" s="1"/>
  <c r="H73" i="1" s="1"/>
  <c r="C73" i="1"/>
  <c r="F72" i="1"/>
  <c r="E72" i="1"/>
  <c r="D72" i="1"/>
  <c r="C72" i="1"/>
  <c r="F71" i="1"/>
  <c r="E71" i="1"/>
  <c r="D71" i="1"/>
  <c r="G71" i="1" s="1"/>
  <c r="H71" i="1" s="1"/>
  <c r="C71" i="1"/>
  <c r="F70" i="1"/>
  <c r="E70" i="1"/>
  <c r="D70" i="1"/>
  <c r="G70" i="1" s="1"/>
  <c r="H70" i="1" s="1"/>
  <c r="C70" i="1"/>
  <c r="G69" i="1"/>
  <c r="F69" i="1"/>
  <c r="E69" i="1"/>
  <c r="D69" i="1"/>
  <c r="C69" i="1"/>
  <c r="F68" i="1"/>
  <c r="E68" i="1"/>
  <c r="D68" i="1"/>
  <c r="C68" i="1"/>
  <c r="F67" i="1"/>
  <c r="E67" i="1"/>
  <c r="D67" i="1"/>
  <c r="C67" i="1"/>
  <c r="F66" i="1"/>
  <c r="E66" i="1"/>
  <c r="D66" i="1"/>
  <c r="C66" i="1"/>
  <c r="F65" i="1"/>
  <c r="E65" i="1"/>
  <c r="D65" i="1"/>
  <c r="C65" i="1"/>
  <c r="G65" i="1" s="1"/>
  <c r="H65" i="1" s="1"/>
  <c r="F64" i="1"/>
  <c r="E64" i="1"/>
  <c r="D64" i="1"/>
  <c r="C64" i="1"/>
  <c r="F63" i="1"/>
  <c r="E63" i="1"/>
  <c r="D63" i="1"/>
  <c r="C63" i="1"/>
  <c r="G63" i="1" s="1"/>
  <c r="H63" i="1" s="1"/>
  <c r="F62" i="1"/>
  <c r="E62" i="1"/>
  <c r="D62" i="1"/>
  <c r="G62" i="1" s="1"/>
  <c r="H62" i="1" s="1"/>
  <c r="C62" i="1"/>
  <c r="F61" i="1"/>
  <c r="E61" i="1"/>
  <c r="D61" i="1"/>
  <c r="G61" i="1" s="1"/>
  <c r="H61" i="1" s="1"/>
  <c r="C61" i="1"/>
  <c r="F60" i="1"/>
  <c r="E60" i="1"/>
  <c r="D60" i="1"/>
  <c r="C60" i="1"/>
  <c r="G60" i="1" s="1"/>
  <c r="H60" i="1" s="1"/>
  <c r="F59" i="1"/>
  <c r="E59" i="1"/>
  <c r="D59" i="1"/>
  <c r="C59" i="1"/>
  <c r="G59" i="1" s="1"/>
  <c r="H59" i="1" s="1"/>
  <c r="F58" i="1"/>
  <c r="E58" i="1"/>
  <c r="D58" i="1"/>
  <c r="C58" i="1"/>
  <c r="F57" i="1"/>
  <c r="E57" i="1"/>
  <c r="D57" i="1"/>
  <c r="C57" i="1"/>
  <c r="G57" i="1" s="1"/>
  <c r="H57" i="1" s="1"/>
  <c r="F56" i="1"/>
  <c r="E56" i="1"/>
  <c r="D56" i="1"/>
  <c r="C56" i="1"/>
  <c r="G56" i="1" s="1"/>
  <c r="H56" i="1" s="1"/>
  <c r="F55" i="1"/>
  <c r="E55" i="1"/>
  <c r="D55" i="1"/>
  <c r="C55" i="1"/>
  <c r="G55" i="1" s="1"/>
  <c r="H55" i="1" s="1"/>
  <c r="F54" i="1"/>
  <c r="E54" i="1"/>
  <c r="D54" i="1"/>
  <c r="C54" i="1"/>
  <c r="F53" i="1"/>
  <c r="E53" i="1"/>
  <c r="D53" i="1"/>
  <c r="C53" i="1"/>
  <c r="G53" i="1" s="1"/>
  <c r="H53" i="1" s="1"/>
  <c r="F52" i="1"/>
  <c r="E52" i="1"/>
  <c r="D52" i="1"/>
  <c r="C52" i="1"/>
  <c r="G52" i="1" s="1"/>
  <c r="H52" i="1" s="1"/>
  <c r="F51" i="1"/>
  <c r="E51" i="1"/>
  <c r="D51" i="1"/>
  <c r="C51" i="1"/>
  <c r="G51" i="1" s="1"/>
  <c r="H51" i="1" s="1"/>
  <c r="F50" i="1"/>
  <c r="E50" i="1"/>
  <c r="D50" i="1"/>
  <c r="C50" i="1"/>
  <c r="M44" i="1"/>
  <c r="L44" i="1"/>
  <c r="N44" i="1" s="1"/>
  <c r="B44" i="1"/>
  <c r="A44" i="1"/>
  <c r="M43" i="1"/>
  <c r="L43" i="1"/>
  <c r="N43" i="1" s="1"/>
  <c r="B43" i="1"/>
  <c r="A43" i="1"/>
  <c r="M42" i="1"/>
  <c r="L42" i="1"/>
  <c r="N42" i="1" s="1"/>
  <c r="B42" i="1"/>
  <c r="A42" i="1"/>
  <c r="M41" i="1"/>
  <c r="L41" i="1"/>
  <c r="N41" i="1" s="1"/>
  <c r="B41" i="1"/>
  <c r="A41" i="1"/>
  <c r="M40" i="1"/>
  <c r="L40" i="1"/>
  <c r="N40" i="1" s="1"/>
  <c r="B40" i="1"/>
  <c r="A40" i="1"/>
  <c r="N39" i="1"/>
  <c r="M39" i="1"/>
  <c r="L39" i="1"/>
  <c r="B39" i="1"/>
  <c r="A39" i="1"/>
  <c r="M38" i="1"/>
  <c r="L38" i="1"/>
  <c r="N38" i="1" s="1"/>
  <c r="B38" i="1"/>
  <c r="A38" i="1"/>
  <c r="M37" i="1"/>
  <c r="L37" i="1"/>
  <c r="N37" i="1" s="1"/>
  <c r="B37" i="1"/>
  <c r="A37" i="1"/>
  <c r="N36" i="1"/>
  <c r="M36" i="1"/>
  <c r="L36" i="1"/>
  <c r="B36" i="1"/>
  <c r="A36" i="1"/>
  <c r="M35" i="1"/>
  <c r="L35" i="1"/>
  <c r="N35" i="1" s="1"/>
  <c r="B35" i="1"/>
  <c r="A35" i="1"/>
  <c r="M34" i="1"/>
  <c r="L34" i="1"/>
  <c r="N34" i="1" s="1"/>
  <c r="B34" i="1"/>
  <c r="A34" i="1"/>
  <c r="M33" i="1"/>
  <c r="L33" i="1"/>
  <c r="N33" i="1" s="1"/>
  <c r="B33" i="1"/>
  <c r="A33" i="1"/>
  <c r="M32" i="1"/>
  <c r="L32" i="1"/>
  <c r="N32" i="1" s="1"/>
  <c r="B32" i="1"/>
  <c r="A32" i="1"/>
  <c r="M31" i="1"/>
  <c r="L31" i="1"/>
  <c r="N31" i="1" s="1"/>
  <c r="B31" i="1"/>
  <c r="A31" i="1"/>
  <c r="N30" i="1"/>
  <c r="M30" i="1"/>
  <c r="L30" i="1"/>
  <c r="B30" i="1"/>
  <c r="A30" i="1"/>
  <c r="L22" i="1"/>
  <c r="K22" i="1"/>
  <c r="J22" i="1"/>
  <c r="M22" i="1" s="1"/>
  <c r="N22" i="1" s="1"/>
  <c r="I22" i="1"/>
  <c r="L21" i="1"/>
  <c r="K21" i="1"/>
  <c r="J21" i="1"/>
  <c r="I21" i="1"/>
  <c r="L20" i="1"/>
  <c r="K20" i="1"/>
  <c r="J20" i="1"/>
  <c r="M20" i="1" s="1"/>
  <c r="N20" i="1" s="1"/>
  <c r="I20" i="1"/>
  <c r="L19" i="1"/>
  <c r="K19" i="1"/>
  <c r="J19" i="1"/>
  <c r="I19" i="1"/>
  <c r="M18" i="1"/>
  <c r="L18" i="1"/>
  <c r="K18" i="1"/>
  <c r="J18" i="1"/>
  <c r="I18" i="1"/>
  <c r="L17" i="1"/>
  <c r="K17" i="1"/>
  <c r="J17" i="1"/>
  <c r="I17" i="1"/>
  <c r="L16" i="1"/>
  <c r="K16" i="1"/>
  <c r="J16" i="1"/>
  <c r="M16" i="1" s="1"/>
  <c r="I16" i="1"/>
  <c r="L15" i="1"/>
  <c r="K15" i="1"/>
  <c r="J15" i="1"/>
  <c r="I15" i="1"/>
  <c r="B15" i="1"/>
  <c r="L14" i="1"/>
  <c r="K14" i="1"/>
  <c r="J14" i="1"/>
  <c r="I14" i="1"/>
  <c r="M14" i="1" s="1"/>
  <c r="N14" i="1" s="1"/>
  <c r="B14" i="1"/>
  <c r="L13" i="1"/>
  <c r="K13" i="1"/>
  <c r="J13" i="1"/>
  <c r="M13" i="1" s="1"/>
  <c r="N13" i="1" s="1"/>
  <c r="I13" i="1"/>
  <c r="B13" i="1"/>
  <c r="M6" i="1"/>
  <c r="J6" i="1"/>
  <c r="G6" i="1"/>
  <c r="D6" i="1"/>
  <c r="A6" i="1"/>
  <c r="B133" i="2"/>
  <c r="B132" i="2"/>
  <c r="B131" i="2"/>
  <c r="B130"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M17" i="1" l="1"/>
  <c r="N17" i="1" s="1"/>
  <c r="M15" i="1"/>
  <c r="N15" i="1" s="1"/>
  <c r="M19" i="1"/>
  <c r="N19" i="1" s="1"/>
  <c r="M21" i="1"/>
  <c r="N21" i="1" s="1"/>
  <c r="G74" i="1"/>
  <c r="H74" i="1" s="1"/>
  <c r="G67" i="1"/>
  <c r="H67" i="1" s="1"/>
  <c r="N18" i="1"/>
  <c r="N16" i="1"/>
  <c r="G50" i="1"/>
  <c r="H50" i="1" s="1"/>
  <c r="G54" i="1"/>
  <c r="H54" i="1" s="1"/>
  <c r="G58" i="1"/>
  <c r="H58" i="1" s="1"/>
  <c r="G64" i="1"/>
  <c r="H64" i="1" s="1"/>
  <c r="G75" i="1"/>
  <c r="H75" i="1" s="1"/>
  <c r="G68" i="1"/>
  <c r="H68" i="1" s="1"/>
  <c r="H69" i="1"/>
  <c r="G66" i="1"/>
  <c r="H66" i="1" s="1"/>
  <c r="G72" i="1"/>
  <c r="H72" i="1" s="1"/>
</calcChain>
</file>

<file path=xl/sharedStrings.xml><?xml version="1.0" encoding="utf-8"?>
<sst xmlns="http://schemas.openxmlformats.org/spreadsheetml/2006/main" count="1198" uniqueCount="299">
  <si>
    <t>Wysker Watch — Launch Plan (Single Tab)</t>
  </si>
  <si>
    <t>PWA launch is its own Go/No-Go, independent of App Store. Gates rebuilt from scratch (yellow = draft, confirm before it blocks). Filter by Bucket or Status using the header dropdowns. Rows tagged 'GATE' are blocking checkpoints, not tasks.</t>
  </si>
  <si>
    <t>Bucket</t>
  </si>
  <si>
    <t>Sub-Bucket</t>
  </si>
  <si>
    <t>Task ID</t>
  </si>
  <si>
    <t>Item</t>
  </si>
  <si>
    <t>Type</t>
  </si>
  <si>
    <t>Owner</t>
  </si>
  <si>
    <t>Priority</t>
  </si>
  <si>
    <t>Start Date</t>
  </si>
  <si>
    <t>Duration</t>
  </si>
  <si>
    <t>End Date</t>
  </si>
  <si>
    <t>Status</t>
  </si>
  <si>
    <t>Blocking?</t>
  </si>
  <si>
    <t>Draft/Notes</t>
  </si>
  <si>
    <t>PWA</t>
  </si>
  <si>
    <t>Launch Readiness</t>
  </si>
  <si>
    <t>Host Privacy Policy at wyskerwatch.com/privacy</t>
  </si>
  <si>
    <t>Task</t>
  </si>
  <si>
    <t>Lynn</t>
  </si>
  <si>
    <t>Critical</t>
  </si>
  <si>
    <t>Complete</t>
  </si>
  <si>
    <t>Yes</t>
  </si>
  <si>
    <t>Depends on the deletion-function confirmation above.</t>
  </si>
  <si>
    <t>Host Terms of Service at wyskerwatch.com/terms</t>
  </si>
  <si>
    <t>Mirrors the Privacy Policy hosting task. In-app /terms route + signup consent gate (spec 0047) already exist; confirm the marketing-domain page too.</t>
  </si>
  <si>
    <t>Set up support@wyskerwatch.com inbox</t>
  </si>
  <si>
    <t>High</t>
  </si>
  <si>
    <t>Still on backlog.</t>
  </si>
  <si>
    <t>Confirm backend changes pushed to all 3 Supabase projects (dev/staging/prod)</t>
  </si>
  <si>
    <t>Lynn (Claude Code)</t>
  </si>
  <si>
    <t>Has been missed before per project docs.</t>
  </si>
  <si>
    <t>Confirm production Cloudflare Worker env vars (Supabase URL/key etc.) via real prod smoke test</t>
  </si>
  <si>
    <t>wrangler.jsonc declares no secrets/bindings in-repo; presumably set in Cloudflare dashboard. Two deploy paths now exist (dashboard build vs. new "npm run deploy" script) — confirm which is authoritative before relying on either.</t>
  </si>
  <si>
    <t>Schedule a recurring (e.g. quarterly) DB restore-drill cadence</t>
  </si>
  <si>
    <t>Low</t>
  </si>
  <si>
    <t>No</t>
  </si>
  <si>
    <t>Restore pipeline is implemented and was verified once end-to-end, but only manual-trigger — no automated recurring drill is scheduled.</t>
  </si>
  <si>
    <t>Document the Cloudflare manual-deploy gate (exact dashboard path, who has access) in-repo</t>
  </si>
  <si>
    <t>Medium</t>
  </si>
  <si>
    <t>Gate exists in production but has zero in-repo representation — known only to Lynn. Bus-factor risk for launch-day and post-launch deploys.</t>
  </si>
  <si>
    <t>Decide: storage-bucket file (pet photo/document) backup coverage for launch, or explicit accepted-risk</t>
  </si>
  <si>
    <t>Nightly pg_dump-to-R2 backup (P0, resolved) explicitly excludes storage bucket files — see requirements-database-backups.md and Risk row below. No task currently owns closing or consciously accepting this gap, unlike the equivalent GDPR-export decision row above. Needs the same explicit in/out-of-scope call.</t>
  </si>
  <si>
    <t>Investigate PWA SEO</t>
  </si>
  <si>
    <t>Blocked</t>
  </si>
  <si>
    <t>Need to understand how easy it is to put SEO into the PWA. Because of the browser bug, I don't think I can do this.</t>
  </si>
  <si>
    <t>Analytics &amp; Support</t>
  </si>
  <si>
    <t>Analytics</t>
  </si>
  <si>
    <t>Validate hourly rollup against raw event log for one full day</t>
  </si>
  <si>
    <t>Sanity check before trusting the dashboard.</t>
  </si>
  <si>
    <t>Support</t>
  </si>
  <si>
    <t>Committed to in the Privacy Policy.</t>
  </si>
  <si>
    <t>Draft a minimal FAQ / help page</t>
  </si>
  <si>
    <t>Reduces first-week support load.</t>
  </si>
  <si>
    <t>Wire up production error/crash monitoring (e.g. Sentry) before launch</t>
  </si>
  <si>
    <t>No client or server error tracking exists today; only best-effort console logging inside Edge Functions.</t>
  </si>
  <si>
    <t>Testing</t>
  </si>
  <si>
    <t>Beta waitlist landing page</t>
  </si>
  <si>
    <t xml:space="preserve">Need to recruit non-friends to test the Alpha </t>
  </si>
  <si>
    <t>Waitlist signup + screener form</t>
  </si>
  <si>
    <t>sign up for testers</t>
  </si>
  <si>
    <t>Admin view for reviewing waitlist signups</t>
  </si>
  <si>
    <t>view for testers</t>
  </si>
  <si>
    <t>Signup confirmation email</t>
  </si>
  <si>
    <t>confirmation for testers</t>
  </si>
  <si>
    <t>Add Playwright coverage for Pets I Sit Wellbeing chips (spec 0037) — needs a 3rd fixture account</t>
  </si>
  <si>
    <t>Closed out by spec 0057 (2026-08-20): test4@wyskerwatch.com added as the sitter fixture account (test3@ was already claimed by spec 0053 for admin-route tests). 4 new Playwright tests added to e2e/pet-sitter.spec.js, passing against wysker-watch-dev. Migration 0051_test4_sitter_fixture_account.sql applied to all 3 Supabase projects.</t>
  </si>
  <si>
    <t>Wire Playwright E2E suite into CI (currently local-only per CLAUDE.md)</t>
  </si>
  <si>
    <t>npm run test:e2e exists and a full run was reportedly green 2026-08-07, but CI (.github/workflows/ci.yml) only runs lint/typecheck/vitest/build + Edge Function integration tests — e2e is not gated. A regression can land on main undetected until someone remembers to run the suite by hand.</t>
  </si>
  <si>
    <t>Broader hand-rolled icon-button audit (~26 files, unscoped)</t>
  </si>
  <si>
    <t>Not Started</t>
  </si>
  <si>
    <t>Rough grep for circular/clickable elements not importing IconButton returns ~26 files, too noisy to trust without a per-file read. Not yet scoped.</t>
  </si>
  <si>
    <t>Investigate login.spec.js intermittent flake (unreproduced)</t>
  </si>
  <si>
    <t>Two full-suite runs could not reproduce it and the original report never captured what failed. Trace capture is already enabled (playwright.config.js retain-on-failure) — needs a real trace next time it occurs.</t>
  </si>
  <si>
    <t>QA test plan defined per area, incl. adversarial AI-assistant prompt set</t>
  </si>
  <si>
    <t>A pass rate against zero defined tests is not a pass rate.</t>
  </si>
  <si>
    <t>Regression testing</t>
  </si>
  <si>
    <t>In Progress</t>
  </si>
  <si>
    <t>A full manual regression pass (e2e + Edge Function integration tests + in-browser smoke test) was completed and green as of 2026-08-07 per docs/launch-punch-list.md. Not Complete: (1) the Playwright e2e suite is local-only, not wired into CI (see new Testing row below), so nothing guarantees it stays green as code changes; (2) spec 0047 (signup consent gate) landed the same day as that pass and needs its own re-verification.</t>
  </si>
  <si>
    <t>Device / browser compatibility (iOS Safari + Android Chrome PWA install path)</t>
  </si>
  <si>
    <t>iOS install is manual-banner only — verify it still works.</t>
  </si>
  <si>
    <t>Accessibility pass (44px targets, contrast, never color-only)</t>
  </si>
  <si>
    <t>Performance pass</t>
  </si>
  <si>
    <t>Feature Freeze</t>
  </si>
  <si>
    <t>Milestone</t>
  </si>
  <si>
    <t>Reconcile against Claude Code's actual repo state before freezing.</t>
  </si>
  <si>
    <t>User Funnel</t>
  </si>
  <si>
    <t>Definitions</t>
  </si>
  <si>
    <t>Alpha = Friend + Stranger Cohort, validates habit stickiness</t>
  </si>
  <si>
    <t>Reference</t>
  </si>
  <si>
    <t>-</t>
  </si>
  <si>
    <t>Feeds PWA Go/No-Go gate.</t>
  </si>
  <si>
    <t>Social &amp; Content</t>
  </si>
  <si>
    <t>Pipeline</t>
  </si>
  <si>
    <t>Confirm Claude -&gt; Canva -&gt; Buffer pipeline end-to-end</t>
  </si>
  <si>
    <t>Confirm before relying on it for launch week.</t>
  </si>
  <si>
    <t>Business Readiness</t>
  </si>
  <si>
    <t>Formation</t>
  </si>
  <si>
    <t>Rename LLC</t>
  </si>
  <si>
    <t>For App Store</t>
  </si>
  <si>
    <t>Needed before D-U-N-S / Apple entity verification.</t>
  </si>
  <si>
    <t>Add DBA</t>
  </si>
  <si>
    <t>Add Wysker Watch as DBA under Double Diamond Works</t>
  </si>
  <si>
    <t>Obtain EIN</t>
  </si>
  <si>
    <t>Free via IRS.gov once LLC exists.</t>
  </si>
  <si>
    <t>Banking</t>
  </si>
  <si>
    <t>Open business bank account</t>
  </si>
  <si>
    <t>Launch Campaign</t>
  </si>
  <si>
    <t>Post-launch content cadence</t>
  </si>
  <si>
    <t>Risk</t>
  </si>
  <si>
    <t>Register</t>
  </si>
  <si>
    <t>Daily check-in habit doesn't stick with Stranger Cohort</t>
  </si>
  <si>
    <t>Now the PWA Gate's Product row — hard checkpoint. If it fires, Alpha extends before PWA launches.</t>
  </si>
  <si>
    <t>Critical production bug at or near PWA launch</t>
  </si>
  <si>
    <t>Regression + device compatibility testing completed before Feature Freeze.</t>
  </si>
  <si>
    <t>AI Assistant quality concerns</t>
  </si>
  <si>
    <t>Adversarial/edge-case prompt set required in the QA test plan.</t>
  </si>
  <si>
    <t>Real-user acquisition insufficient</t>
  </si>
  <si>
    <t>Real-User Acquisition floor gate row; Watch List campaign must be live and tracked ahead of launch.</t>
  </si>
  <si>
    <t>Single founder covering Engineering, QA, Business, Support</t>
  </si>
  <si>
    <t>Partially resolved — 2nd person now named for launch-day Support + Bug Triage.</t>
  </si>
  <si>
    <t>Apple rejection during App Store review</t>
  </si>
  <si>
    <t>TestFlight testing before submission; review current Apple guidelines close to submission time.</t>
  </si>
  <si>
    <t>D-U-N-S / Apple entity verification delays App Store timeline</t>
  </si>
  <si>
    <t>Does not block PWA launch. Start LLC/D-U-N-S early regardless.</t>
  </si>
  <si>
    <t>Support inbox unmonitored during first weeks post-launch</t>
  </si>
  <si>
    <t>Staffed as part of Launch Day + week-one cadence.</t>
  </si>
  <si>
    <t>ask-vet-assistant has no rate limiting or abuse protection</t>
  </si>
  <si>
    <t>Any authenticated account (test, demo, real) can call it unlimited times; each call is a real, billed Anthropic API request. No per-user/per-window cap exists in the Edge Function.</t>
  </si>
  <si>
    <t>No production error/crash monitoring wired up (no Sentry or equivalent)</t>
  </si>
  <si>
    <t>No client-side JS error capture or server-side error aggregation/alerting. Launch Day Runbook currently relies on manual "Monitor analytics" only.</t>
  </si>
  <si>
    <t>Pet photo/document storage files have zero backup coverage</t>
  </si>
  <si>
    <t>DB backup pipeline (nightly pg_dump to R2) is implemented, but storage-bucket files are explicitly excluded. Restore drills are also manual-trigger only, not scheduled.</t>
  </si>
  <si>
    <t>Cloudflare manual-deploy gate exists only in dashboard, undocumented</t>
  </si>
  <si>
    <t>Single point of knowledge (Lynn only). Exact settings/access list not recorded in-repo. Bus-factor risk for launch-day and post-launch deploys.</t>
  </si>
  <si>
    <t>No GDPR/CCPA data-export ("right to access") feature</t>
  </si>
  <si>
    <t>Account deletion is implemented; data export is a distinct legal obligation and appears entirely unaddressed. Needs an explicit in-scope/deferred decision if EU/CA users are in scope for launch.</t>
  </si>
  <si>
    <t>CI branch protection can be bypassed by a direct push (repo-admin bypass confirmed 2026-07-24)</t>
  </si>
  <si>
    <t>Per docs/launch-punch-list.md P0: an account with bypass permission can push directly to main without CI blocking it — GitHub logs it as a "bypassed rule violation" but does not reject the push. CI still runs and reports pass/fail after the fact, but that's after the code is already live. Not previously on the Risk Register.</t>
  </si>
  <si>
    <t>landing page for beta testers</t>
  </si>
  <si>
    <t>Behind-the-scenes teasers</t>
  </si>
  <si>
    <t>3 weeks pre-PWA-launch.</t>
  </si>
  <si>
    <t>Alpha</t>
  </si>
  <si>
    <t>Cohort</t>
  </si>
  <si>
    <t>Steve Kain (Friend)</t>
  </si>
  <si>
    <t>Tester</t>
  </si>
  <si>
    <t>Min. 3 Stranger Cohort required — only Stranger logging counts toward the PWA Gate.</t>
  </si>
  <si>
    <t>Lexi (Friend)</t>
  </si>
  <si>
    <t>Bruce Borey (Friend)</t>
  </si>
  <si>
    <t>Rick Thomas (Friend)</t>
  </si>
  <si>
    <t>Aubrey (Friend)</t>
  </si>
  <si>
    <t>Amy (Friend)</t>
  </si>
  <si>
    <t>Diana (Friend)</t>
  </si>
  <si>
    <t>PK (Friend)</t>
  </si>
  <si>
    <t>[Stranger #1 — recruit]</t>
  </si>
  <si>
    <t>[Stranger #2 — recruit]</t>
  </si>
  <si>
    <t>[Stranger #3 — recruit]</t>
  </si>
  <si>
    <t>Phase 1 Content</t>
  </si>
  <si>
    <t>Official Wysker Watch Findings — deadpan vet-note observations</t>
  </si>
  <si>
    <t>Low-frequency drip, no app mentions in body copy, never guilt-inducing.</t>
  </si>
  <si>
    <t>Problem-awareness posts</t>
  </si>
  <si>
    <t>6 weeks pre-PWA-launch.</t>
  </si>
  <si>
    <t>Watch List / signup campaign live and tracked</t>
  </si>
  <si>
    <t>Must be live and tracked, not just planned. Confirmed 2026-08-15 (spec 0056): this is the pre-App-Store-phase Watch List, a separate later list not built yet. Distinct from /early-adopters (spec 0056, shipped 2026-08-15), the pre-PWA-launch signup page for general social traffic — do not conflate the two.</t>
  </si>
  <si>
    <t>Launch day posts scheduled</t>
  </si>
  <si>
    <t>Decide daily support-check cadence for launch week</t>
  </si>
  <si>
    <t>Lynn + 2nd person</t>
  </si>
  <si>
    <t>Gate</t>
  </si>
  <si>
    <t>PWA GATE: Alpha Habit-Stickiness passed</t>
  </si>
  <si>
    <t>GATE</t>
  </si>
  <si>
    <t>DRAFT: &gt;=60% of Stranger Cohort (min. 3) log &gt;=10 of 14 committed days. Friend Cohort tracked but doesn't count. If failed: extend Alpha 2 weeks with a fresh Stranger recruit.</t>
  </si>
  <si>
    <t>Go/No-Go</t>
  </si>
  <si>
    <t>PWA GATE: No Critical bugs open</t>
  </si>
  <si>
    <t>PWA GATE: Regression passed (real, non-zero test count)</t>
  </si>
  <si>
    <t>PWA GATE: Accessibility passed</t>
  </si>
  <si>
    <t>PWA GATE: Privacy Policy hosted AND deletion confirmed working</t>
  </si>
  <si>
    <t>Hard blocker, no exception.</t>
  </si>
  <si>
    <t>PWA GATE: Support inbox staffed and monitored</t>
  </si>
  <si>
    <t>PWA GATE: Analytics clean (no undercounts, rollups un-blended)</t>
  </si>
  <si>
    <t>PWA GATE: Real-User Acquisition floor met, or explicit conscious-small-launch decision recorded</t>
  </si>
  <si>
    <t>DRAFT: set your own number — Execution Plan used 50 Watch List signups as a reference. Never a silent default.</t>
  </si>
  <si>
    <t>PWA GATE: Founder approval, in writing, same day</t>
  </si>
  <si>
    <t>No launch without this, regardless of every other row.</t>
  </si>
  <si>
    <t>PWA GATE: ask-vet-assistant rate limiting / abuse protection shipped</t>
  </si>
  <si>
    <t>Blocks unbounded, real-billed Anthropic API usage from any authenticated account (test, demo, or real) before public launch.</t>
  </si>
  <si>
    <t>Launch Day</t>
  </si>
  <si>
    <t>Runbook</t>
  </si>
  <si>
    <t>08:00 Go/No-Go meeting</t>
  </si>
  <si>
    <t>Final check against PWA Go/No-Go rows above.</t>
  </si>
  <si>
    <t>09:00 Confirm PWA live at wyskerwatch.com</t>
  </si>
  <si>
    <t>09:15 Verify deploy on Cloudflare Pages (manual gate)</t>
  </si>
  <si>
    <t>09:30 Email founders / Watch List</t>
  </si>
  <si>
    <t>10:00 Social media launch posts go live</t>
  </si>
  <si>
    <t>11:00 Monitor analytics</t>
  </si>
  <si>
    <t>[2nd person — name here]</t>
  </si>
  <si>
    <t>Watch signups and check-ins vs. Acquisition floor.</t>
  </si>
  <si>
    <t>12:00 Support inbox check</t>
  </si>
  <si>
    <t>Cannot be Lynn alongside Social Launch.</t>
  </si>
  <si>
    <t>15:00 Bug triage</t>
  </si>
  <si>
    <t>[2nd person — name here] / Lynn</t>
  </si>
  <si>
    <t>17:00 Day 1 retrospective</t>
  </si>
  <si>
    <t>Week 1: Watch spam-deliverability + DMARC clean-send threshold (50 sends) before moving to quarantine</t>
  </si>
  <si>
    <t>Branded signup email was landing in spam on Yahoo Mail pre-launch; SPF/DKIM/DMARC correctly configured but domain has no sending reputation yet.</t>
  </si>
  <si>
    <t>Store Enrollment</t>
  </si>
  <si>
    <t>D-U-N-S number</t>
  </si>
  <si>
    <t>5-30 business days — the long pole. Start the moment LLC exists.</t>
  </si>
  <si>
    <t>Apple Developer Program enrollment ($99/yr)</t>
  </si>
  <si>
    <t>1-2 days after D-U-N-S clears.</t>
  </si>
  <si>
    <t>Google Play Developer account ($25 one-time)</t>
  </si>
  <si>
    <t>No D-U-N-S dependency — much faster, can run in parallel.</t>
  </si>
  <si>
    <t>Infra</t>
  </si>
  <si>
    <t>Mac decision (Mac Mini vs. cloud Mac)</t>
  </si>
  <si>
    <t>Blocks iOS Capacitor build specifically, not Android.</t>
  </si>
  <si>
    <t>Legal/Compliance</t>
  </si>
  <si>
    <t>Decide scope: GDPR/CCPA data-export ("right to access") feature for v1, or explicit deferral</t>
  </si>
  <si>
    <t>Pet health data + owner PII collected. Deletion exists; export does not. Needs a deliberate in/out-of-scope call, not a silent gap.</t>
  </si>
  <si>
    <t>App Store</t>
  </si>
  <si>
    <t>Development</t>
  </si>
  <si>
    <t>Capacitor wrap — Android</t>
  </si>
  <si>
    <t>Zero-progress currently. Unblocked (no Mac dependency).</t>
  </si>
  <si>
    <t>Capacitor wrap — iOS</t>
  </si>
  <si>
    <t>Blocked on Mac decision (Mac Mini vs. cloud Mac).</t>
  </si>
  <si>
    <t>Native notification plugin integration</t>
  </si>
  <si>
    <t>Depends on Capacitor wrap.</t>
  </si>
  <si>
    <t>TestFlight internal testing (iOS)</t>
  </si>
  <si>
    <t>This is your 'Beta' track.</t>
  </si>
  <si>
    <t>Android internal testing track (Google Play)</t>
  </si>
  <si>
    <t>Fix critical issues from TestFlight/Android testers</t>
  </si>
  <si>
    <t>Beta = TestFlight + Android internal testers, validates native wrapper stability</t>
  </si>
  <si>
    <t>Feeds App Store Go/No-Go gate. Not general-audience recruitment.</t>
  </si>
  <si>
    <t>Requirements</t>
  </si>
  <si>
    <t>App icon (all required sizes)</t>
  </si>
  <si>
    <t>Screenshots (per device size, both stores)</t>
  </si>
  <si>
    <t>Preview video (optional)</t>
  </si>
  <si>
    <t>Store description + keywords</t>
  </si>
  <si>
    <t>Age rating questionnaire</t>
  </si>
  <si>
    <t>Support/Privacy/Terms URLs</t>
  </si>
  <si>
    <t>Confirm PWA's hosted policy satisfies both stores.</t>
  </si>
  <si>
    <t>Release notes (v1)</t>
  </si>
  <si>
    <t>In-App Purchase config</t>
  </si>
  <si>
    <t>OPEN QUESTION — only if monetization is in scope for v1.</t>
  </si>
  <si>
    <t>Phase 2 Content</t>
  </si>
  <si>
    <t>Savage Mode — 'Medical Translation' series</t>
  </si>
  <si>
    <t>Explicitly gated to launch simultaneously with App Store approval — do not schedule early.</t>
  </si>
  <si>
    <t>APP STORE GATE: PWA already passed Go/No-Go and ran 21+ consecutive clean usage days</t>
  </si>
  <si>
    <t>App Store waits for clean signal, not holiday-skewed data.</t>
  </si>
  <si>
    <t>APP STORE GATE: Business Readiness complete</t>
  </si>
  <si>
    <t>APP STORE GATE: Capacitor builds pass internal testing, no Critical bugs</t>
  </si>
  <si>
    <t>APP STORE GATE: All Requirements items complete for both stores</t>
  </si>
  <si>
    <t>APP STORE GATE: Explicit decision recorded — still worth pursuing given PWA results?</t>
  </si>
  <si>
    <t>Opt-in, not inevitable. Say yes deliberately.</t>
  </si>
  <si>
    <t>Post-Launch (PWA) = public Watch List / organic signups after PWA launch</t>
  </si>
  <si>
    <t>This is the real growth funnel.</t>
  </si>
  <si>
    <t>Ongoing = retention at scale, informs whether App Store is worth pursuing</t>
  </si>
  <si>
    <t>Includes the 21-day clean-data floor before any App Store conversation.</t>
  </si>
  <si>
    <t>Post-Launch Backlog</t>
  </si>
  <si>
    <t>V2 Parking Lot</t>
  </si>
  <si>
    <t>Compare feature (Trends tab, dual-Y-axis chart)</t>
  </si>
  <si>
    <t>Backlog</t>
  </si>
  <si>
    <t>May repurpose Base44-era implementation — confirm status via Claude Code before deletion.</t>
  </si>
  <si>
    <t>Fi / Tractive tracker integrations</t>
  </si>
  <si>
    <t>No official public APIs; unofficial wrappers carry stability/trust risk. Brainstorming only.</t>
  </si>
  <si>
    <t>Native local notifications beyond .ics export</t>
  </si>
  <si>
    <t>Depends on Capacitor being complete.</t>
  </si>
  <si>
    <t>Sitter + co-owner invite email polish</t>
  </si>
  <si>
    <t>Core functionality shipped; polish only.</t>
  </si>
  <si>
    <t>wyskerwatch.app domain</t>
  </si>
  <si>
    <t>Nice-to-have, not launch-blocking.</t>
  </si>
  <si>
    <t>Auto-populate agent to keep demo data fresh on a schedule</t>
  </si>
  <si>
    <t>Deferred pending the check-in data model, which is now built; still unstarted. Affects demo-account quality for App Store review/investor demos, not end users.</t>
  </si>
  <si>
    <t>Product Decisions</t>
  </si>
  <si>
    <t>Decide: build “Contextual Alerts” (medication/vaccination due, weight change, no check-in today) or formally drop it from scope</t>
  </si>
  <si>
    <t>Vaccination-due reminders are built and live (spec 0034, Notifications.jsx). Medication-due, weight-decreased-from-baseline, and no-check-in-today alerts do not exist anywhere in the codebase (confirmed via full grep). Needs a decision: build the remaining 3, or formally narrow scope to vaccination-only.</t>
  </si>
  <si>
    <t>Confirm Trends 'Compare' sub-tab status via Claude Code</t>
  </si>
  <si>
    <t>Currently an unbuilt placeholder — decide before Alpha whether it ships hidden or stays as-is.</t>
  </si>
  <si>
    <t>Add automated test coverage for co-owner save conflicts via the new Check-In History calendar (spec 0060)</t>
  </si>
  <si>
    <t>The underlying protection (spec 0043's conflict detection) already applies to every save through DailyCheckInSheet, including this new entry point — this is about proving it with an automated test, which needs a dedicated second co-owner test fixture account that doesn't exist yet. Borderline edge case (two co-owners editing the same past day at the same time); address after App Store launch unless it actually happens in production first.</t>
  </si>
  <si>
    <t>Summary</t>
  </si>
  <si>
    <t>Total items</t>
  </si>
  <si>
    <t>Blocking items not complete</t>
  </si>
  <si>
    <t>Gates not yet passed</t>
  </si>
  <si>
    <t>Wysker Watch — Executive Launch Dashboard</t>
  </si>
  <si>
    <t>Live view of task status, bucket readiness, sub-bucket progress, and formal launch gates</t>
  </si>
  <si>
    <t>TRACKED ITEMS</t>
  </si>
  <si>
    <t>COMPLETE</t>
  </si>
  <si>
    <t>IN PROGRESS</t>
  </si>
  <si>
    <t>BLOCKERS OPEN</t>
  </si>
  <si>
    <t>GATES PASSED</t>
  </si>
  <si>
    <t>OVERALL STATUS MIX</t>
  </si>
  <si>
    <t>BUCKET READINESS</t>
  </si>
  <si>
    <t>Count</t>
  </si>
  <si>
    <t>Total</t>
  </si>
  <si>
    <t>% Complete</t>
  </si>
  <si>
    <t>Signal</t>
  </si>
  <si>
    <t>GO / NO-GO GATES</t>
  </si>
  <si>
    <t>Green = passed  |  Amber = underway  |  Red = not passed / blocks launch decision</t>
  </si>
  <si>
    <t>Launch</t>
  </si>
  <si>
    <t>Decision</t>
  </si>
  <si>
    <t>SUB-BUCKET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</si>
</sst>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d/yy"/>
  </numFmts>
  <fonts count="10" x14ac:knownFonts="1">
    <font>
      <sz val="11"/>
      <color theme="1"/>
      <name val="Calibri"/>
    </font>
    <font>
      <b/>
      <sz val="16"/>
      <color rgb="FFFFFFFF"/>
      <name val="Arial"/>
    </font>
    <font>
      <i/>
      <sz val="10"/>
      <color rgb="FF4CC7B0"/>
      <name val="Arial"/>
    </font>
    <font>
      <b/>
      <sz val="11"/>
      <color rgb="FFFFFFFF"/>
      <name val="Arial"/>
    </font>
    <font>
      <b/>
      <sz val="11"/>
      <color rgb="FFFFFFFF"/>
      <name val="Arial"/>
    </font>
    <font>
      <sz val="11"/>
      <color rgb="FF17202A"/>
      <name val="Calibri"/>
    </font>
    <font>
      <b/>
      <sz val="11"/>
      <color rgb="FFFFFFFF"/>
      <name val="Calibri"/>
    </font>
    <font>
      <i/>
      <sz val="11"/>
      <color rgb="FF4CC7B0"/>
      <name val="Calibri"/>
    </font>
    <font>
      <b/>
      <sz val="11"/>
      <color rgb="FF17202A"/>
      <name val="Calibri"/>
    </font>
    <font>
      <i/>
      <sz val="11"/>
      <color rgb="FF64748B"/>
      <name val="Calibri"/>
    </font>
  </fonts>
  <fills count="18">
    <fill>
      <patternFill patternType="none"/>
    </fill>
    <fill>
      <patternFill patternType="gray125"/>
    </fill>
    <fill>
      <patternFill patternType="solid">
        <fgColor rgb="FF0D0F12"/>
      </patternFill>
    </fill>
    <fill>
      <patternFill patternType="solid">
        <fgColor rgb="FF1F6FB0"/>
      </patternFill>
    </fill>
    <fill>
      <patternFill patternType="solid">
        <fgColor rgb="FF0D0F12"/>
      </patternFill>
    </fill>
    <fill>
      <patternFill patternType="solid">
        <fgColor rgb="FF1F6FB0"/>
      </patternFill>
    </fill>
    <fill>
      <patternFill patternType="solid">
        <fgColor rgb="FFFFFFFF"/>
      </patternFill>
    </fill>
    <fill>
      <patternFill patternType="solid">
        <fgColor rgb="FF2AA876"/>
      </patternFill>
    </fill>
    <fill>
      <patternFill patternType="solid">
        <fgColor rgb="FFF4B942"/>
      </patternFill>
    </fill>
    <fill>
      <patternFill patternType="solid">
        <fgColor rgb="FFE05A5A"/>
      </patternFill>
    </fill>
    <fill>
      <patternFill patternType="solid">
        <fgColor rgb="FF59B9E8"/>
      </patternFill>
    </fill>
    <fill>
      <patternFill patternType="solid">
        <fgColor rgb="FFDDEBF7"/>
      </patternFill>
    </fill>
    <fill>
      <patternFill patternType="solid">
        <fgColor rgb="FFCBD5E1"/>
      </patternFill>
    </fill>
    <fill>
      <patternFill patternType="solid">
        <fgColor rgb="FFEEF3F7"/>
      </patternFill>
    </fill>
    <fill>
      <patternFill patternType="solid">
        <fgColor rgb="FFFFFFFF"/>
      </patternFill>
    </fill>
    <fill>
      <patternFill patternType="solid">
        <fgColor rgb="FF1F6FB0"/>
      </patternFill>
    </fill>
    <fill>
      <patternFill patternType="solid">
        <fgColor rgb="FFEEF3F7"/>
      </patternFill>
    </fill>
    <fill>
      <patternFill patternType="solid">
        <fgColor rgb="FFFFFFFF"/>
      </patternFill>
    </fill>
  </fills>
  <borders count="17">
    <border>
      <left/>
      <right/>
      <top/>
      <bottom/>
      <diagonal/>
    </border>
    <border>
      <left style="thin">
        <color rgb="FFC0C0C0"/>
      </left>
      <right style="thin">
        <color rgb="FFC0C0C0"/>
      </right>
      <top style="thin">
        <color rgb="FFC0C0C0"/>
      </top>
      <bottom style="thin">
        <color rgb="FFC0C0C0"/>
      </bottom>
      <diagonal/>
    </border>
    <border>
      <left style="thin">
        <color rgb="FFD9E2EA"/>
      </left>
      <right/>
      <top style="thin">
        <color rgb="FFD9E2EA"/>
      </top>
      <bottom/>
      <diagonal/>
    </border>
    <border>
      <left/>
      <right/>
      <top style="thin">
        <color rgb="FFD9E2EA"/>
      </top>
      <bottom/>
      <diagonal/>
    </border>
    <border>
      <left/>
      <right style="thin">
        <color rgb="FFD9E2EA"/>
      </right>
      <top style="thin">
        <color rgb="FFD9E2EA"/>
      </top>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
      <left style="thin">
        <color rgb="FFD9E2EA"/>
      </left>
      <right/>
      <top style="thin">
        <color rgb="FFD9E2EA"/>
      </top>
      <bottom style="thin">
        <color rgb="FFD9E2EA"/>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style="thin">
        <color rgb="FFD9E2EA"/>
      </right>
      <top/>
      <bottom style="thin">
        <color rgb="FFD9E2EA"/>
      </bottom>
      <diagonal/>
    </border>
    <border>
      <left style="thin">
        <color rgb="FFD9E2EA"/>
      </left>
      <right style="thin">
        <color rgb="FFD9E2EA"/>
      </right>
      <top style="thin">
        <color rgb="FFD9E2EA"/>
      </top>
      <bottom style="thin">
        <color rgb="FFD9E2EA"/>
      </bottom>
      <diagonal/>
    </border>
    <border>
      <left style="thin">
        <color rgb="FFD9E2EA"/>
      </left>
      <right style="thin">
        <color rgb="FFD9E2EA"/>
      </right>
      <top style="thin">
        <color rgb="FFD9E2EA"/>
      </top>
      <bottom/>
      <diagonal/>
    </border>
    <border>
      <left/>
      <right/>
      <top/>
      <bottom style="medium">
        <color rgb="FF1F6FB0"/>
      </bottom>
      <diagonal/>
    </border>
  </borders>
  <cellStyleXfs count="1">
    <xf numFmtId="0" fontId="0" fillId="0" borderId="0"/>
  </cellStyleXfs>
  <cellXfs count="96">
    <xf numFmtId="0" fontId="0" fillId="0" borderId="0" xfId="0"/>
    <xf numFmtId="0" fontId="3" fillId="3" borderId="1" xfId="0" applyFont="1" applyFill="1" applyBorder="1" applyAlignment="1">
      <alignment vertical="center" wrapText="1"/>
    </xf>
    <xf numFmtId="164" fontId="0" fillId="0" borderId="0" xfId="0" applyNumberFormat="1" applyAlignment="1">
      <alignment horizontal="center" vertical="center"/>
    </xf>
    <xf numFmtId="164" fontId="3" fillId="3"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1" fontId="0" fillId="0" borderId="0" xfId="0" applyNumberFormat="1" applyAlignment="1">
      <alignment horizontal="center" vertical="center"/>
    </xf>
    <xf numFmtId="1" fontId="4" fillId="3" borderId="1" xfId="0" applyNumberFormat="1" applyFont="1" applyFill="1" applyBorder="1" applyAlignment="1">
      <alignment horizontal="center" vertical="center" wrapText="1"/>
    </xf>
    <xf numFmtId="0" fontId="2" fillId="0" borderId="0" xfId="0" applyFont="1" applyAlignment="1">
      <alignment vertical="center"/>
    </xf>
    <xf numFmtId="0" fontId="5" fillId="0" borderId="0" xfId="0" applyFont="1"/>
    <xf numFmtId="0" fontId="8" fillId="11" borderId="10" xfId="0" applyFont="1" applyFill="1" applyBorder="1"/>
    <xf numFmtId="0" fontId="8" fillId="11" borderId="11" xfId="0" applyFont="1" applyFill="1" applyBorder="1"/>
    <xf numFmtId="0" fontId="5" fillId="0" borderId="9" xfId="0" applyFont="1" applyBorder="1"/>
    <xf numFmtId="0" fontId="5" fillId="0" borderId="7" xfId="0" applyFont="1" applyBorder="1"/>
    <xf numFmtId="0" fontId="5" fillId="0" borderId="11" xfId="0" applyFont="1" applyBorder="1"/>
    <xf numFmtId="0" fontId="5" fillId="0" borderId="10" xfId="0" applyFont="1" applyBorder="1"/>
    <xf numFmtId="0" fontId="5" fillId="0" borderId="4" xfId="0" applyFont="1" applyBorder="1"/>
    <xf numFmtId="0" fontId="5" fillId="0" borderId="2" xfId="0" applyFont="1" applyBorder="1"/>
    <xf numFmtId="0" fontId="6" fillId="7" borderId="9" xfId="0" applyFont="1" applyFill="1" applyBorder="1"/>
    <xf numFmtId="0" fontId="8" fillId="8" borderId="11" xfId="0" applyFont="1" applyFill="1" applyBorder="1"/>
    <xf numFmtId="0" fontId="5" fillId="12" borderId="4" xfId="0" applyFont="1" applyFill="1" applyBorder="1"/>
    <xf numFmtId="0" fontId="8" fillId="11" borderId="10" xfId="0" applyFont="1" applyFill="1" applyBorder="1" applyAlignment="1">
      <alignment horizontal="center" wrapText="1"/>
    </xf>
    <xf numFmtId="0" fontId="8" fillId="11" borderId="12" xfId="0" applyFont="1" applyFill="1" applyBorder="1" applyAlignment="1">
      <alignment horizontal="center" wrapText="1"/>
    </xf>
    <xf numFmtId="0" fontId="8" fillId="11" borderId="11" xfId="0" applyFont="1" applyFill="1" applyBorder="1" applyAlignment="1">
      <alignment horizontal="center" wrapText="1"/>
    </xf>
    <xf numFmtId="0" fontId="5" fillId="0" borderId="13" xfId="0" applyFont="1" applyBorder="1"/>
    <xf numFmtId="0" fontId="5" fillId="0" borderId="14" xfId="0" applyFont="1" applyBorder="1"/>
    <xf numFmtId="0" fontId="5" fillId="0" borderId="15" xfId="0" applyFont="1" applyBorder="1"/>
    <xf numFmtId="9" fontId="5" fillId="0" borderId="13" xfId="0" applyNumberFormat="1" applyFont="1" applyBorder="1"/>
    <xf numFmtId="9" fontId="5" fillId="0" borderId="14" xfId="0" applyNumberFormat="1" applyFont="1" applyBorder="1"/>
    <xf numFmtId="9" fontId="5" fillId="0" borderId="15" xfId="0" applyNumberFormat="1" applyFont="1" applyBorder="1"/>
    <xf numFmtId="0" fontId="6" fillId="5" borderId="10" xfId="0" applyFont="1" applyFill="1" applyBorder="1" applyAlignment="1">
      <alignment horizontal="center"/>
    </xf>
    <xf numFmtId="0" fontId="6" fillId="5" borderId="12" xfId="0" applyFont="1" applyFill="1" applyBorder="1" applyAlignment="1">
      <alignment horizontal="center"/>
    </xf>
    <xf numFmtId="0" fontId="6" fillId="5" borderId="11" xfId="0" applyFont="1" applyFill="1" applyBorder="1" applyAlignment="1">
      <alignment horizontal="center"/>
    </xf>
    <xf numFmtId="0" fontId="5" fillId="0" borderId="8" xfId="0" applyFont="1" applyBorder="1"/>
    <xf numFmtId="0" fontId="5" fillId="0" borderId="12" xfId="0" applyFont="1" applyBorder="1"/>
    <xf numFmtId="0" fontId="5" fillId="0" borderId="3" xfId="0" applyFont="1" applyBorder="1"/>
    <xf numFmtId="0" fontId="5" fillId="0" borderId="8" xfId="0" applyFont="1" applyBorder="1" applyAlignment="1">
      <alignment vertical="center"/>
    </xf>
    <xf numFmtId="0" fontId="5" fillId="0" borderId="12" xfId="0" applyFont="1" applyBorder="1" applyAlignment="1">
      <alignment vertical="center"/>
    </xf>
    <xf numFmtId="0" fontId="5" fillId="0" borderId="3" xfId="0" applyFont="1" applyBorder="1" applyAlignment="1">
      <alignment vertic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5" fillId="0" borderId="3" xfId="0" applyFont="1" applyBorder="1" applyAlignment="1">
      <alignment horizontal="center" vertical="center"/>
    </xf>
    <xf numFmtId="0" fontId="6" fillId="5" borderId="0" xfId="0" applyFont="1" applyFill="1" applyAlignment="1">
      <alignment horizontal="center" wrapText="1"/>
    </xf>
    <xf numFmtId="9" fontId="5" fillId="0" borderId="8" xfId="0" applyNumberFormat="1" applyFont="1" applyBorder="1"/>
    <xf numFmtId="9" fontId="5" fillId="0" borderId="12" xfId="0" applyNumberFormat="1" applyFont="1" applyBorder="1"/>
    <xf numFmtId="9" fontId="5" fillId="0" borderId="3" xfId="0" applyNumberFormat="1" applyFont="1" applyBorder="1"/>
    <xf numFmtId="0" fontId="5" fillId="14" borderId="0" xfId="0" applyFont="1" applyFill="1"/>
    <xf numFmtId="0" fontId="6" fillId="15" borderId="16" xfId="0" applyFont="1" applyFill="1" applyBorder="1"/>
    <xf numFmtId="0" fontId="8" fillId="14" borderId="8" xfId="0" applyFont="1" applyFill="1" applyBorder="1"/>
    <xf numFmtId="0" fontId="8" fillId="14" borderId="12" xfId="0" applyFont="1" applyFill="1" applyBorder="1"/>
    <xf numFmtId="0" fontId="8" fillId="16" borderId="8" xfId="0" applyFont="1" applyFill="1" applyBorder="1" applyAlignment="1">
      <alignment horizontal="center"/>
    </xf>
    <xf numFmtId="0" fontId="8" fillId="16" borderId="12" xfId="0" applyFont="1" applyFill="1" applyBorder="1" applyAlignment="1">
      <alignment horizontal="center"/>
    </xf>
    <xf numFmtId="0" fontId="5" fillId="17" borderId="13" xfId="0" applyFont="1" applyFill="1" applyBorder="1" applyAlignment="1">
      <alignment wrapText="1"/>
    </xf>
    <xf numFmtId="165" fontId="5" fillId="17" borderId="13" xfId="0" applyNumberFormat="1" applyFont="1" applyFill="1" applyBorder="1" applyAlignment="1">
      <alignment horizontal="center" wrapText="1"/>
    </xf>
    <xf numFmtId="1" fontId="5" fillId="17" borderId="13" xfId="0" applyNumberFormat="1" applyFont="1" applyFill="1" applyBorder="1" applyAlignment="1">
      <alignment horizontal="center" wrapText="1"/>
    </xf>
    <xf numFmtId="0" fontId="5" fillId="17" borderId="14" xfId="0" applyFont="1" applyFill="1" applyBorder="1" applyAlignment="1">
      <alignment wrapText="1"/>
    </xf>
    <xf numFmtId="165" fontId="5" fillId="17" borderId="14" xfId="0" applyNumberFormat="1" applyFont="1" applyFill="1" applyBorder="1" applyAlignment="1">
      <alignment horizontal="center" wrapText="1"/>
    </xf>
    <xf numFmtId="1" fontId="5" fillId="17" borderId="14" xfId="0" applyNumberFormat="1" applyFont="1" applyFill="1" applyBorder="1" applyAlignment="1">
      <alignment horizontal="center" wrapText="1"/>
    </xf>
    <xf numFmtId="0" fontId="0" fillId="0" borderId="0" xfId="0" applyAlignment="1">
      <alignment horizontal="left"/>
    </xf>
    <xf numFmtId="0" fontId="3" fillId="3" borderId="1" xfId="0" applyFont="1" applyFill="1" applyBorder="1" applyAlignment="1">
      <alignment horizontal="left" vertical="center" wrapText="1"/>
    </xf>
    <xf numFmtId="0" fontId="5" fillId="17" borderId="13" xfId="0" applyFont="1" applyFill="1" applyBorder="1" applyAlignment="1">
      <alignment horizontal="left" wrapText="1"/>
    </xf>
    <xf numFmtId="0" fontId="5" fillId="17" borderId="14" xfId="0" applyFont="1" applyFill="1" applyBorder="1" applyAlignment="1">
      <alignment horizontal="left" wrapText="1"/>
    </xf>
    <xf numFmtId="0" fontId="6" fillId="15" borderId="16" xfId="0" applyFont="1" applyFill="1" applyBorder="1" applyAlignment="1">
      <alignment horizontal="left"/>
    </xf>
    <xf numFmtId="0" fontId="5" fillId="14" borderId="0" xfId="0" applyFont="1" applyFill="1" applyAlignment="1">
      <alignment horizontal="left"/>
    </xf>
    <xf numFmtId="0" fontId="3" fillId="3" borderId="1" xfId="0" applyFont="1" applyFill="1" applyBorder="1" applyAlignment="1">
      <alignment horizontal="center" vertical="center" wrapText="1"/>
    </xf>
    <xf numFmtId="1" fontId="0" fillId="0" borderId="0" xfId="0" applyNumberFormat="1" applyAlignment="1">
      <alignment horizontal="center"/>
    </xf>
    <xf numFmtId="1" fontId="6" fillId="15" borderId="16" xfId="0" applyNumberFormat="1" applyFont="1" applyFill="1" applyBorder="1" applyAlignment="1">
      <alignment horizontal="center"/>
    </xf>
    <xf numFmtId="1" fontId="8" fillId="16" borderId="8" xfId="0" applyNumberFormat="1" applyFont="1" applyFill="1" applyBorder="1" applyAlignment="1">
      <alignment horizontal="center"/>
    </xf>
    <xf numFmtId="1" fontId="8" fillId="16" borderId="12" xfId="0" applyNumberFormat="1" applyFont="1" applyFill="1" applyBorder="1" applyAlignment="1">
      <alignment horizontal="center"/>
    </xf>
    <xf numFmtId="0" fontId="1" fillId="2" borderId="0" xfId="0" applyFont="1" applyFill="1" applyAlignment="1">
      <alignment vertical="center"/>
    </xf>
    <xf numFmtId="0" fontId="0" fillId="0" borderId="0" xfId="0"/>
    <xf numFmtId="0" fontId="0" fillId="0" borderId="0" xfId="0" applyAlignment="1">
      <alignment horizontal="left"/>
    </xf>
    <xf numFmtId="164" fontId="0" fillId="0" borderId="0" xfId="0" applyNumberFormat="1" applyAlignment="1">
      <alignment horizontal="center" vertical="center"/>
    </xf>
    <xf numFmtId="1" fontId="0" fillId="0" borderId="0" xfId="0" applyNumberFormat="1" applyAlignment="1">
      <alignment horizontal="center" vertical="center"/>
    </xf>
    <xf numFmtId="0" fontId="8" fillId="6" borderId="14" xfId="0" applyFont="1" applyFill="1"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12" xfId="0" applyFont="1" applyBorder="1" applyAlignment="1">
      <alignment vertical="center" wrapText="1"/>
    </xf>
    <xf numFmtId="0" fontId="0" fillId="0" borderId="12" xfId="0" applyBorder="1"/>
    <xf numFmtId="0" fontId="5" fillId="0" borderId="8" xfId="0" applyFont="1" applyBorder="1" applyAlignment="1">
      <alignment vertical="center" wrapText="1"/>
    </xf>
    <xf numFmtId="0" fontId="6" fillId="10" borderId="0" xfId="0" applyFont="1" applyFill="1" applyAlignment="1">
      <alignment horizontal="center" vertical="center"/>
    </xf>
    <xf numFmtId="0" fontId="6" fillId="5" borderId="0" xfId="0" applyFont="1" applyFill="1" applyAlignment="1">
      <alignment horizontal="center" vertical="center"/>
    </xf>
    <xf numFmtId="0" fontId="6" fillId="8" borderId="0" xfId="0" applyFont="1" applyFill="1" applyAlignment="1">
      <alignment horizontal="center" vertical="center"/>
    </xf>
    <xf numFmtId="0" fontId="6" fillId="5" borderId="0" xfId="0" applyFont="1" applyFill="1" applyAlignment="1">
      <alignment vertical="center"/>
    </xf>
    <xf numFmtId="0" fontId="9" fillId="13" borderId="0" xfId="0" applyFont="1" applyFill="1" applyAlignment="1">
      <alignment vertical="center"/>
    </xf>
    <xf numFmtId="0" fontId="7" fillId="4" borderId="0" xfId="0" applyFont="1" applyFill="1" applyAlignment="1">
      <alignment vertical="center"/>
    </xf>
    <xf numFmtId="0" fontId="6" fillId="7" borderId="0" xfId="0" applyFont="1" applyFill="1" applyAlignment="1">
      <alignment horizontal="center" vertical="center"/>
    </xf>
    <xf numFmtId="0" fontId="6" fillId="4" borderId="0" xfId="0" applyFont="1" applyFill="1" applyAlignment="1">
      <alignment vertical="center"/>
    </xf>
    <xf numFmtId="0" fontId="6" fillId="4" borderId="0" xfId="0" applyFont="1" applyFill="1" applyAlignment="1">
      <alignment horizontal="left" vertical="center"/>
    </xf>
    <xf numFmtId="0" fontId="6" fillId="9" borderId="0" xfId="0" applyFont="1" applyFill="1" applyAlignment="1">
      <alignment horizontal="center" vertical="center"/>
    </xf>
    <xf numFmtId="0" fontId="5" fillId="0" borderId="3" xfId="0" applyFont="1" applyBorder="1" applyAlignment="1">
      <alignment vertical="center" wrapText="1"/>
    </xf>
    <xf numFmtId="0" fontId="6" fillId="5" borderId="12" xfId="0" applyFont="1" applyFill="1" applyBorder="1" applyAlignment="1">
      <alignment horizontal="center"/>
    </xf>
  </cellXfs>
  <cellStyles count="1">
    <cellStyle name="Normal" xfId="0" builtinId="0"/>
  </cellStyles>
  <dxfs count="38">
    <dxf>
      <font>
        <b/>
        <color rgb="FF155A8A"/>
      </font>
      <fill>
        <patternFill>
          <bgColor rgb="FFE8F2FC"/>
        </patternFill>
      </fill>
    </dxf>
    <dxf>
      <font>
        <b/>
        <color rgb="FFA61B1B"/>
      </font>
      <fill>
        <patternFill>
          <bgColor rgb="FFFCE8E8"/>
        </patternFill>
      </fill>
    </dxf>
    <dxf>
      <font>
        <color rgb="FF17202A"/>
      </font>
      <fill>
        <patternFill>
          <bgColor rgb="FFE2E8F0"/>
        </patternFill>
      </fill>
    </dxf>
    <dxf>
      <font>
        <b/>
        <color rgb="FF17202A"/>
      </font>
      <fill>
        <patternFill>
          <bgColor rgb="FFF4B942"/>
        </patternFill>
      </fill>
    </dxf>
    <dxf>
      <font>
        <b/>
        <color rgb="FFFFFFFF"/>
      </font>
      <fill>
        <patternFill>
          <bgColor rgb="FF2AA876"/>
        </patternFill>
      </fill>
    </dxf>
    <dxf>
      <font>
        <color rgb="FF664D03"/>
      </font>
      <fill>
        <patternFill>
          <bgColor rgb="FFFFF3CD"/>
        </patternFill>
      </fill>
    </dxf>
    <dxf>
      <font>
        <b/>
        <color rgb="FF842029"/>
      </font>
      <fill>
        <patternFill>
          <bgColor rgb="FFF8D7DA"/>
        </patternFill>
      </fill>
    </dxf>
    <dxf>
      <font>
        <b/>
        <color rgb="FFFFFFFF"/>
      </font>
      <fill>
        <patternFill>
          <bgColor rgb="FFE05A5A"/>
        </patternFill>
      </fill>
    </dxf>
    <dxf>
      <font>
        <i/>
        <color rgb="FF475569"/>
      </font>
      <fill>
        <patternFill patternType="solid">
          <bgColor rgb="FFE7ECF1"/>
        </patternFill>
      </fill>
    </dxf>
    <dxf>
      <font>
        <b/>
        <color rgb="FF17202A"/>
      </font>
      <fill>
        <patternFill patternType="solid">
          <bgColor rgb="FFDDEBF7"/>
        </patternFill>
      </fill>
    </dxf>
    <dxf>
      <font>
        <b/>
        <color rgb="FF17202A"/>
      </font>
      <fill>
        <patternFill patternType="solid">
          <bgColor rgb="FFFFF2CC"/>
        </patternFill>
      </fill>
      <border>
        <top style="thin">
          <color rgb="FFD6B656"/>
        </top>
        <bottom style="thin">
          <color rgb="FFD6B656"/>
        </bottom>
      </border>
    </dxf>
    <dxf>
      <font>
        <color rgb="FF17202A"/>
      </font>
      <fill>
        <patternFill patternType="solid">
          <bgColor rgb="FFEAF0FA"/>
        </patternFill>
      </fill>
    </dxf>
    <dxf>
      <font>
        <color rgb="FF17202A"/>
      </font>
      <fill>
        <patternFill patternType="solid">
          <bgColor rgb="FFE8F0FE"/>
        </patternFill>
      </fill>
    </dxf>
    <dxf>
      <font>
        <color rgb="FF17202A"/>
      </font>
      <fill>
        <patternFill patternType="solid">
          <bgColor rgb="FFF0F0F0"/>
        </patternFill>
      </fill>
    </dxf>
    <dxf>
      <font>
        <color rgb="FF17202A"/>
      </font>
      <fill>
        <patternFill patternType="solid">
          <bgColor rgb="FFFCEAEA"/>
        </patternFill>
      </fill>
    </dxf>
    <dxf>
      <font>
        <color rgb="FF17202A"/>
      </font>
      <fill>
        <patternFill patternType="solid">
          <bgColor rgb="FFF5F5DC"/>
        </patternFill>
      </fill>
    </dxf>
    <dxf>
      <font>
        <color rgb="FF17202A"/>
      </font>
      <fill>
        <patternFill patternType="solid">
          <bgColor rgb="FFEAF0FA"/>
        </patternFill>
      </fill>
    </dxf>
    <dxf>
      <font>
        <color rgb="FF17202A"/>
      </font>
      <fill>
        <patternFill patternType="solid">
          <bgColor rgb="FFF3E9F7"/>
        </patternFill>
      </fill>
    </dxf>
    <dxf>
      <font>
        <color rgb="FF17202A"/>
      </font>
      <fill>
        <patternFill patternType="solid">
          <bgColor rgb="FFFDEFE0"/>
        </patternFill>
      </fill>
    </dxf>
    <dxf>
      <font>
        <color rgb="FF17202A"/>
      </font>
      <fill>
        <patternFill patternType="solid">
          <bgColor rgb="FFFFF2CC"/>
        </patternFill>
      </fill>
    </dxf>
    <dxf>
      <font>
        <color rgb="FF17202A"/>
      </font>
      <fill>
        <patternFill patternType="solid">
          <bgColor rgb="FFE9F7F3"/>
        </patternFill>
      </fill>
    </dxf>
    <dxf>
      <font>
        <i/>
        <color rgb="FF475569"/>
      </font>
      <fill>
        <patternFill>
          <bgColor rgb="FFE7ECF1"/>
        </patternFill>
      </fill>
    </dxf>
    <dxf>
      <font>
        <b/>
        <color rgb="FF17202A"/>
      </font>
      <fill>
        <patternFill>
          <bgColor rgb="FFDDEBF7"/>
        </patternFill>
      </fill>
    </dxf>
    <dxf>
      <font>
        <b/>
        <color rgb="FF17202A"/>
      </font>
      <fill>
        <patternFill>
          <bgColor rgb="FFFFF2CC"/>
        </patternFill>
      </fill>
      <border>
        <top style="thin">
          <color rgb="FFD6B656"/>
        </top>
        <bottom style="thin">
          <color rgb="FFD6B656"/>
        </bottom>
      </border>
    </dxf>
    <dxf>
      <font>
        <b/>
        <color rgb="FFFFFFFF"/>
      </font>
      <fill>
        <patternFill>
          <bgColor rgb="FFE05A5A"/>
        </patternFill>
      </fill>
    </dxf>
    <dxf>
      <font>
        <b/>
        <color rgb="FF17202A"/>
      </font>
      <fill>
        <patternFill>
          <bgColor rgb="FFF4B942"/>
        </patternFill>
      </fill>
    </dxf>
    <dxf>
      <font>
        <b/>
        <color rgb="FFFFFFFF"/>
      </font>
      <fill>
        <patternFill>
          <bgColor rgb="FF2AA876"/>
        </patternFill>
      </fill>
    </dxf>
    <dxf>
      <font>
        <color rgb="FF17202A"/>
      </font>
      <fill>
        <patternFill>
          <bgColor rgb="FFCBD5E1"/>
        </patternFill>
      </fill>
    </dxf>
    <dxf>
      <font>
        <b/>
        <color rgb="FF17202A"/>
      </font>
      <fill>
        <patternFill>
          <bgColor rgb="FF59B9E8"/>
        </patternFill>
      </fill>
    </dxf>
    <dxf>
      <font>
        <b/>
        <color rgb="FF17202A"/>
      </font>
      <fill>
        <patternFill>
          <bgColor rgb="FFF4B942"/>
        </patternFill>
      </fill>
    </dxf>
    <dxf>
      <font>
        <b/>
        <color rgb="FFFFFFFF"/>
      </font>
      <fill>
        <patternFill>
          <bgColor rgb="FF2AA876"/>
        </patternFill>
      </fill>
    </dxf>
    <dxf>
      <font>
        <b/>
        <color rgb="FFFFFFFF"/>
      </font>
      <fill>
        <patternFill>
          <bgColor rgb="FFE05A5A"/>
        </patternFill>
      </fill>
    </dxf>
    <dxf>
      <font>
        <b/>
        <color rgb="FF17202A"/>
      </font>
      <fill>
        <patternFill>
          <bgColor rgb="FFF4B942"/>
        </patternFill>
      </fill>
    </dxf>
    <dxf>
      <font>
        <b/>
        <color rgb="FFFFFFFF"/>
      </font>
      <fill>
        <patternFill>
          <bgColor rgb="FF2AA876"/>
        </patternFill>
      </fill>
    </dxf>
    <dxf>
      <font>
        <color rgb="FF17202A"/>
      </font>
      <fill>
        <patternFill>
          <bgColor rgb="FFCBD5E1"/>
        </patternFill>
      </fill>
    </dxf>
    <dxf>
      <font>
        <b/>
        <color rgb="FF17202A"/>
      </font>
      <fill>
        <patternFill>
          <bgColor rgb="FF59B9E8"/>
        </patternFill>
      </fill>
    </dxf>
    <dxf>
      <font>
        <b/>
        <color rgb="FF17202A"/>
      </font>
      <fill>
        <patternFill>
          <bgColor rgb="FFF4B942"/>
        </patternFill>
      </fill>
    </dxf>
    <dxf>
      <font>
        <b/>
        <color rgb="FFFFFFFF"/>
      </font>
      <fill>
        <patternFill>
          <bgColor rgb="FF2AA87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9F7F3"/>
      <rgbColor rgb="FF660066"/>
      <rgbColor rgb="FFFF8080"/>
      <rgbColor rgb="FF1F6FB0"/>
      <rgbColor rgb="FFF3E9F7"/>
      <rgbColor rgb="FF000080"/>
      <rgbColor rgb="FFFF00FF"/>
      <rgbColor rgb="FFFFFF00"/>
      <rgbColor rgb="FF00FFFF"/>
      <rgbColor rgb="FF800080"/>
      <rgbColor rgb="FF800000"/>
      <rgbColor rgb="FF008080"/>
      <rgbColor rgb="FF0000FF"/>
      <rgbColor rgb="FF00CCFF"/>
      <rgbColor rgb="FFE8F0FE"/>
      <rgbColor rgb="FFEAF0FA"/>
      <rgbColor rgb="FFF5F5DC"/>
      <rgbColor rgb="FFF0F0F0"/>
      <rgbColor rgb="FFFDEFE0"/>
      <rgbColor rgb="FFCC99FF"/>
      <rgbColor rgb="FFFCEAEA"/>
      <rgbColor rgb="FF3366FF"/>
      <rgbColor rgb="FF4CC7B0"/>
      <rgbColor rgb="FF99CC00"/>
      <rgbColor rgb="FFFFCC00"/>
      <rgbColor rgb="FFFF9900"/>
      <rgbColor rgb="FFFF6600"/>
      <rgbColor rgb="FF666699"/>
      <rgbColor rgb="FF969696"/>
      <rgbColor rgb="FF003366"/>
      <rgbColor rgb="FF339966"/>
      <rgbColor rgb="FF0D0F12"/>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7"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Where the work stands</a:t>
            </a:r>
          </a:p>
        </c:rich>
      </c:tx>
      <c:overlay val="0"/>
    </c:title>
    <c:autoTitleDeleted val="0"/>
    <c:plotArea>
      <c:layout/>
      <c:barChart>
        <c:barDir val="col"/>
        <c:grouping val="clustered"/>
        <c:varyColors val="0"/>
        <c:ser>
          <c:idx val="0"/>
          <c:order val="0"/>
          <c:tx>
            <c:v>Count</c:v>
          </c:tx>
          <c:spPr>
            <a:ln>
              <a:prstDash val="solid"/>
            </a:ln>
          </c:spPr>
          <c:invertIfNegative val="1"/>
          <c:cat>
            <c:strRef>
              <c:f>'Executive Dashboard'!$A$13:$A$15</c:f>
              <c:strCache>
                <c:ptCount val="3"/>
                <c:pt idx="0">
                  <c:v>Complete</c:v>
                </c:pt>
                <c:pt idx="1">
                  <c:v>In Progress</c:v>
                </c:pt>
                <c:pt idx="2">
                  <c:v>Not Started</c:v>
                </c:pt>
              </c:strCache>
            </c:strRef>
          </c:cat>
          <c:val>
            <c:numRef>
              <c:f>'Executive Dashboard'!$B$13:$B$15</c:f>
              <c:numCache>
                <c:formatCode>General</c:formatCode>
                <c:ptCount val="3"/>
                <c:pt idx="0">
                  <c:v>22</c:v>
                </c:pt>
                <c:pt idx="1">
                  <c:v>2</c:v>
                </c:pt>
                <c:pt idx="2">
                  <c:v>89</c:v>
                </c:pt>
              </c:numCache>
            </c:numRef>
          </c:val>
          <c:extLst>
            <c:ext xmlns:c16="http://schemas.microsoft.com/office/drawing/2014/chart" uri="{C3380CC4-5D6E-409C-BE32-E72D297353CC}">
              <c16:uniqueId val="{00000000-932A-4290-8EFB-1851F1B9482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0</xdr:rowOff>
    </xdr:from>
    <xdr:to>
      <xdr:col>6</xdr:col>
      <xdr:colOff>0</xdr:colOff>
      <xdr:row>23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0"/>
  <sheetViews>
    <sheetView showGridLines="0" workbookViewId="0">
      <selection sqref="A1:N2"/>
    </sheetView>
  </sheetViews>
  <sheetFormatPr defaultRowHeight="14.5" x14ac:dyDescent="0.35"/>
  <cols>
    <col min="1" max="1" width="19" customWidth="1"/>
    <col min="2" max="2" width="25" customWidth="1"/>
    <col min="3" max="3" width="10" customWidth="1"/>
    <col min="4" max="6" width="11" customWidth="1"/>
    <col min="7" max="7" width="13" customWidth="1"/>
    <col min="8" max="8" width="18" customWidth="1"/>
    <col min="9" max="12" width="11" customWidth="1"/>
    <col min="13" max="13" width="12" customWidth="1"/>
    <col min="14" max="14" width="14" customWidth="1"/>
  </cols>
  <sheetData>
    <row r="1" spans="1:14" ht="24" customHeight="1" x14ac:dyDescent="0.35">
      <c r="A1" s="92" t="s">
        <v>281</v>
      </c>
      <c r="B1" s="69"/>
      <c r="C1" s="69"/>
      <c r="D1" s="69"/>
      <c r="E1" s="69"/>
      <c r="F1" s="69"/>
      <c r="G1" s="69"/>
      <c r="H1" s="69"/>
      <c r="I1" s="69"/>
      <c r="J1" s="69"/>
      <c r="K1" s="69"/>
      <c r="L1" s="69"/>
      <c r="M1" s="69"/>
      <c r="N1" s="69"/>
    </row>
    <row r="2" spans="1:14" ht="24" customHeight="1" x14ac:dyDescent="0.35">
      <c r="A2" s="69"/>
      <c r="B2" s="69"/>
      <c r="C2" s="69"/>
      <c r="D2" s="69"/>
      <c r="E2" s="69"/>
      <c r="F2" s="69"/>
      <c r="G2" s="69"/>
      <c r="H2" s="69"/>
      <c r="I2" s="69"/>
      <c r="J2" s="69"/>
      <c r="K2" s="69"/>
      <c r="L2" s="69"/>
      <c r="M2" s="69"/>
      <c r="N2" s="69"/>
    </row>
    <row r="3" spans="1:14" ht="24" customHeight="1" x14ac:dyDescent="0.35">
      <c r="A3" s="89" t="s">
        <v>282</v>
      </c>
      <c r="B3" s="69"/>
      <c r="C3" s="69"/>
      <c r="D3" s="69"/>
      <c r="E3" s="69"/>
      <c r="F3" s="69"/>
      <c r="G3" s="69"/>
      <c r="H3" s="69"/>
      <c r="I3" s="69"/>
      <c r="J3" s="69"/>
      <c r="K3" s="69"/>
      <c r="L3" s="69"/>
      <c r="M3" s="69"/>
      <c r="N3" s="69"/>
    </row>
    <row r="4" spans="1:14" x14ac:dyDescent="0.35">
      <c r="A4" s="8"/>
      <c r="B4" s="8"/>
      <c r="C4" s="8"/>
      <c r="D4" s="8"/>
      <c r="E4" s="8"/>
      <c r="F4" s="8"/>
      <c r="G4" s="8"/>
      <c r="H4" s="8"/>
      <c r="I4" s="8"/>
      <c r="J4" s="8"/>
      <c r="K4" s="8"/>
      <c r="L4" s="8"/>
      <c r="M4" s="8"/>
      <c r="N4" s="8"/>
    </row>
    <row r="5" spans="1:14" ht="24" customHeight="1" x14ac:dyDescent="0.35">
      <c r="A5" s="85" t="s">
        <v>283</v>
      </c>
      <c r="B5" s="69"/>
      <c r="C5" s="69"/>
      <c r="D5" s="90" t="s">
        <v>284</v>
      </c>
      <c r="E5" s="69"/>
      <c r="F5" s="69"/>
      <c r="G5" s="86" t="s">
        <v>285</v>
      </c>
      <c r="H5" s="69"/>
      <c r="I5" s="69"/>
      <c r="J5" s="93" t="s">
        <v>286</v>
      </c>
      <c r="K5" s="69"/>
      <c r="L5" s="69"/>
      <c r="M5" s="84" t="s">
        <v>287</v>
      </c>
      <c r="N5" s="69"/>
    </row>
    <row r="6" spans="1:14" ht="24" customHeight="1" x14ac:dyDescent="0.35">
      <c r="A6" s="73">
        <f>COUNTIF('Launch Plan'!$K$5:$K$126,"Complete")+COUNTIF('Launch Plan'!$K$5:$K$126,"In Progress")+COUNTIF('Launch Plan'!$K$5:$K$126,"Not Started")</f>
        <v>113</v>
      </c>
      <c r="B6" s="74"/>
      <c r="C6" s="75"/>
      <c r="D6" s="73">
        <f>COUNTIF('Launch Plan'!$K$5:$K$126,"Complete")</f>
        <v>22</v>
      </c>
      <c r="E6" s="74"/>
      <c r="F6" s="75"/>
      <c r="G6" s="73">
        <f>COUNTIF('Launch Plan'!$K$5:$K$126,"In Progress")</f>
        <v>2</v>
      </c>
      <c r="H6" s="74"/>
      <c r="I6" s="75"/>
      <c r="J6" s="73">
        <f>COUNTIFS('Launch Plan'!$L$5:$L$126,"Yes",'Launch Plan'!$K$5:$K$126,"&lt;&gt;Complete")</f>
        <v>35</v>
      </c>
      <c r="K6" s="74"/>
      <c r="L6" s="75"/>
      <c r="M6" s="73" t="str">
        <f>COUNTIFS('Launch Plan'!$E$5:$E$126,"GATE",'Launch Plan'!$K$5:$K$126,"Complete")&amp;" / "&amp;COUNTIF('Launch Plan'!$E$5:$E$126,"GATE")</f>
        <v>0 / 15</v>
      </c>
      <c r="N6" s="75"/>
    </row>
    <row r="7" spans="1:14" ht="24" customHeight="1" x14ac:dyDescent="0.35">
      <c r="A7" s="76"/>
      <c r="B7" s="69"/>
      <c r="C7" s="77"/>
      <c r="D7" s="76"/>
      <c r="E7" s="69"/>
      <c r="F7" s="77"/>
      <c r="G7" s="76"/>
      <c r="H7" s="69"/>
      <c r="I7" s="77"/>
      <c r="J7" s="76"/>
      <c r="K7" s="69"/>
      <c r="L7" s="77"/>
      <c r="M7" s="76"/>
      <c r="N7" s="77"/>
    </row>
    <row r="8" spans="1:14" ht="24" customHeight="1" x14ac:dyDescent="0.35">
      <c r="A8" s="78"/>
      <c r="B8" s="79"/>
      <c r="C8" s="80"/>
      <c r="D8" s="78"/>
      <c r="E8" s="79"/>
      <c r="F8" s="80"/>
      <c r="G8" s="78"/>
      <c r="H8" s="79"/>
      <c r="I8" s="80"/>
      <c r="J8" s="78"/>
      <c r="K8" s="79"/>
      <c r="L8" s="80"/>
      <c r="M8" s="78"/>
      <c r="N8" s="80"/>
    </row>
    <row r="9" spans="1:14" x14ac:dyDescent="0.35">
      <c r="A9" s="8"/>
      <c r="B9" s="8"/>
      <c r="C9" s="8"/>
      <c r="D9" s="8"/>
      <c r="E9" s="8"/>
      <c r="F9" s="8"/>
      <c r="G9" s="8"/>
      <c r="H9" s="8"/>
      <c r="I9" s="8"/>
      <c r="J9" s="8"/>
      <c r="K9" s="8"/>
      <c r="L9" s="8"/>
      <c r="M9" s="8"/>
      <c r="N9" s="8"/>
    </row>
    <row r="10" spans="1:14" x14ac:dyDescent="0.35">
      <c r="A10" s="87" t="s">
        <v>288</v>
      </c>
      <c r="B10" s="69"/>
      <c r="C10" s="69"/>
      <c r="D10" s="69"/>
      <c r="E10" s="69"/>
      <c r="F10" s="69"/>
      <c r="G10" s="8"/>
      <c r="H10" s="87" t="s">
        <v>289</v>
      </c>
      <c r="I10" s="69"/>
      <c r="J10" s="69"/>
      <c r="K10" s="69"/>
      <c r="L10" s="69"/>
      <c r="M10" s="69"/>
      <c r="N10" s="69"/>
    </row>
    <row r="11" spans="1:14" x14ac:dyDescent="0.35">
      <c r="A11" s="8"/>
      <c r="B11" s="8"/>
      <c r="C11" s="8"/>
      <c r="D11" s="8"/>
      <c r="E11" s="8"/>
      <c r="F11" s="8"/>
      <c r="G11" s="8"/>
      <c r="H11" s="8"/>
      <c r="I11" s="8"/>
      <c r="J11" s="8"/>
      <c r="K11" s="8"/>
      <c r="L11" s="8"/>
      <c r="M11" s="8"/>
      <c r="N11" s="8"/>
    </row>
    <row r="12" spans="1:14" x14ac:dyDescent="0.35">
      <c r="A12" s="9" t="s">
        <v>12</v>
      </c>
      <c r="B12" s="10" t="s">
        <v>290</v>
      </c>
      <c r="C12" s="8"/>
      <c r="D12" s="8"/>
      <c r="E12" s="8"/>
      <c r="F12" s="8"/>
      <c r="G12" s="8"/>
      <c r="H12" s="20" t="s">
        <v>2</v>
      </c>
      <c r="I12" s="21" t="s">
        <v>291</v>
      </c>
      <c r="J12" s="21" t="s">
        <v>21</v>
      </c>
      <c r="K12" s="21" t="s">
        <v>77</v>
      </c>
      <c r="L12" s="21" t="s">
        <v>70</v>
      </c>
      <c r="M12" s="21" t="s">
        <v>292</v>
      </c>
      <c r="N12" s="22" t="s">
        <v>293</v>
      </c>
    </row>
    <row r="13" spans="1:14" x14ac:dyDescent="0.35">
      <c r="A13" s="17" t="s">
        <v>21</v>
      </c>
      <c r="B13" s="12">
        <f>COUNTIF('Launch Plan'!$K$5:$K$126,A13)</f>
        <v>22</v>
      </c>
      <c r="C13" s="8"/>
      <c r="D13" s="8"/>
      <c r="E13" s="8"/>
      <c r="F13" s="8"/>
      <c r="G13" s="8"/>
      <c r="H13" s="11" t="s">
        <v>15</v>
      </c>
      <c r="I13" s="23">
        <f>COUNTIFS('Launch Plan'!$A$5:$A$126,H13,'Launch Plan'!$K$5:$K$126,"Complete")+COUNTIFS('Launch Plan'!$A$5:$A$126,H13,'Launch Plan'!$K$5:$K$126,"In Progress")+COUNTIFS('Launch Plan'!$A$5:$A$126,H13,'Launch Plan'!$K$5:$K$126,"Not Started")</f>
        <v>34</v>
      </c>
      <c r="J13" s="23">
        <f>COUNTIFS('Launch Plan'!$A$5:$A$126,H13,'Launch Plan'!$K$5:$K$126,"Complete")</f>
        <v>15</v>
      </c>
      <c r="K13" s="23">
        <f>COUNTIFS('Launch Plan'!$A$5:$A$126,H13,'Launch Plan'!$K$5:$K$126,"In Progress")</f>
        <v>1</v>
      </c>
      <c r="L13" s="23">
        <f>COUNTIFS('Launch Plan'!$A$5:$A$126,H13,'Launch Plan'!$K$5:$K$126,"Not Started")</f>
        <v>18</v>
      </c>
      <c r="M13" s="26">
        <f t="shared" ref="M13:M22" si="0">IFERROR(J13/I13,0)</f>
        <v>0.44117647058823528</v>
      </c>
      <c r="N13" s="12" t="str">
        <f t="shared" ref="N13:N22" si="1">IF(M13=1,"READY",IF(K13&gt;0,"MOVING",IF(M13&gt;0,"PARTIAL","NOT STARTED")))</f>
        <v>MOVING</v>
      </c>
    </row>
    <row r="14" spans="1:14" x14ac:dyDescent="0.35">
      <c r="A14" s="18" t="s">
        <v>77</v>
      </c>
      <c r="B14" s="14">
        <f>COUNTIF('Launch Plan'!$K$5:$K$126,A14)</f>
        <v>2</v>
      </c>
      <c r="C14" s="8"/>
      <c r="D14" s="8"/>
      <c r="E14" s="8"/>
      <c r="F14" s="8"/>
      <c r="G14" s="8"/>
      <c r="H14" s="13" t="s">
        <v>46</v>
      </c>
      <c r="I14" s="24">
        <f>COUNTIFS('Launch Plan'!$A$5:$A$126,H14,'Launch Plan'!$K$5:$K$126,"Complete")+COUNTIFS('Launch Plan'!$A$5:$A$126,H14,'Launch Plan'!$K$5:$K$126,"In Progress")+COUNTIFS('Launch Plan'!$A$5:$A$126,H14,'Launch Plan'!$K$5:$K$126,"Not Started")</f>
        <v>5</v>
      </c>
      <c r="J14" s="24">
        <f>COUNTIFS('Launch Plan'!$A$5:$A$126,H14,'Launch Plan'!$K$5:$K$126,"Complete")</f>
        <v>4</v>
      </c>
      <c r="K14" s="24">
        <f>COUNTIFS('Launch Plan'!$A$5:$A$126,H14,'Launch Plan'!$K$5:$K$126,"In Progress")</f>
        <v>0</v>
      </c>
      <c r="L14" s="24">
        <f>COUNTIFS('Launch Plan'!$A$5:$A$126,H14,'Launch Plan'!$K$5:$K$126,"Not Started")</f>
        <v>1</v>
      </c>
      <c r="M14" s="27">
        <f t="shared" si="0"/>
        <v>0.8</v>
      </c>
      <c r="N14" s="14" t="str">
        <f t="shared" si="1"/>
        <v>PARTIAL</v>
      </c>
    </row>
    <row r="15" spans="1:14" x14ac:dyDescent="0.35">
      <c r="A15" s="19" t="s">
        <v>70</v>
      </c>
      <c r="B15" s="16">
        <f>COUNTIF('Launch Plan'!$K$5:$K$126,A15)</f>
        <v>89</v>
      </c>
      <c r="C15" s="8"/>
      <c r="D15" s="8"/>
      <c r="E15" s="8"/>
      <c r="F15" s="8"/>
      <c r="G15" s="8"/>
      <c r="H15" s="13" t="s">
        <v>86</v>
      </c>
      <c r="I15" s="24">
        <f>COUNTIFS('Launch Plan'!$A$5:$A$126,H15,'Launch Plan'!$K$5:$K$126,"Complete")+COUNTIFS('Launch Plan'!$A$5:$A$126,H15,'Launch Plan'!$K$5:$K$126,"In Progress")+COUNTIFS('Launch Plan'!$A$5:$A$126,H15,'Launch Plan'!$K$5:$K$126,"Not Started")</f>
        <v>1</v>
      </c>
      <c r="J15" s="24">
        <f>COUNTIFS('Launch Plan'!$A$5:$A$126,H15,'Launch Plan'!$K$5:$K$126,"Complete")</f>
        <v>0</v>
      </c>
      <c r="K15" s="24">
        <f>COUNTIFS('Launch Plan'!$A$5:$A$126,H15,'Launch Plan'!$K$5:$K$126,"In Progress")</f>
        <v>0</v>
      </c>
      <c r="L15" s="24">
        <f>COUNTIFS('Launch Plan'!$A$5:$A$126,H15,'Launch Plan'!$K$5:$K$126,"Not Started")</f>
        <v>1</v>
      </c>
      <c r="M15" s="27">
        <f t="shared" si="0"/>
        <v>0</v>
      </c>
      <c r="N15" s="14" t="str">
        <f t="shared" si="1"/>
        <v>NOT STARTED</v>
      </c>
    </row>
    <row r="16" spans="1:14" x14ac:dyDescent="0.35">
      <c r="A16" s="8"/>
      <c r="B16" s="8"/>
      <c r="C16" s="8"/>
      <c r="D16" s="8"/>
      <c r="E16" s="8"/>
      <c r="F16" s="8"/>
      <c r="G16" s="8"/>
      <c r="H16" s="13" t="s">
        <v>92</v>
      </c>
      <c r="I16" s="24">
        <f>COUNTIFS('Launch Plan'!$A$5:$A$126,H16,'Launch Plan'!$K$5:$K$126,"Complete")+COUNTIFS('Launch Plan'!$A$5:$A$126,H16,'Launch Plan'!$K$5:$K$126,"In Progress")+COUNTIFS('Launch Plan'!$A$5:$A$126,H16,'Launch Plan'!$K$5:$K$126,"Not Started")</f>
        <v>8</v>
      </c>
      <c r="J16" s="24">
        <f>COUNTIFS('Launch Plan'!$A$5:$A$126,H16,'Launch Plan'!$K$5:$K$126,"Complete")</f>
        <v>0</v>
      </c>
      <c r="K16" s="24">
        <f>COUNTIFS('Launch Plan'!$A$5:$A$126,H16,'Launch Plan'!$K$5:$K$126,"In Progress")</f>
        <v>1</v>
      </c>
      <c r="L16" s="24">
        <f>COUNTIFS('Launch Plan'!$A$5:$A$126,H16,'Launch Plan'!$K$5:$K$126,"Not Started")</f>
        <v>7</v>
      </c>
      <c r="M16" s="27">
        <f t="shared" si="0"/>
        <v>0</v>
      </c>
      <c r="N16" s="14" t="str">
        <f t="shared" si="1"/>
        <v>MOVING</v>
      </c>
    </row>
    <row r="17" spans="1:14" x14ac:dyDescent="0.35">
      <c r="A17" s="8"/>
      <c r="B17" s="8"/>
      <c r="C17" s="8"/>
      <c r="D17" s="8"/>
      <c r="E17" s="8"/>
      <c r="F17" s="8"/>
      <c r="G17" s="8"/>
      <c r="H17" s="13" t="s">
        <v>96</v>
      </c>
      <c r="I17" s="24">
        <f>COUNTIFS('Launch Plan'!$A$5:$A$126,H17,'Launch Plan'!$K$5:$K$126,"Complete")+COUNTIFS('Launch Plan'!$A$5:$A$126,H17,'Launch Plan'!$K$5:$K$126,"In Progress")+COUNTIFS('Launch Plan'!$A$5:$A$126,H17,'Launch Plan'!$K$5:$K$126,"Not Started")</f>
        <v>9</v>
      </c>
      <c r="J17" s="24">
        <f>COUNTIFS('Launch Plan'!$A$5:$A$126,H17,'Launch Plan'!$K$5:$K$126,"Complete")</f>
        <v>1</v>
      </c>
      <c r="K17" s="24">
        <f>COUNTIFS('Launch Plan'!$A$5:$A$126,H17,'Launch Plan'!$K$5:$K$126,"In Progress")</f>
        <v>0</v>
      </c>
      <c r="L17" s="24">
        <f>COUNTIFS('Launch Plan'!$A$5:$A$126,H17,'Launch Plan'!$K$5:$K$126,"Not Started")</f>
        <v>8</v>
      </c>
      <c r="M17" s="27">
        <f t="shared" si="0"/>
        <v>0.1111111111111111</v>
      </c>
      <c r="N17" s="14" t="str">
        <f t="shared" si="1"/>
        <v>PARTIAL</v>
      </c>
    </row>
    <row r="18" spans="1:14" x14ac:dyDescent="0.35">
      <c r="A18" s="8"/>
      <c r="B18" s="8"/>
      <c r="C18" s="8"/>
      <c r="D18" s="8"/>
      <c r="E18" s="8"/>
      <c r="F18" s="8"/>
      <c r="G18" s="8"/>
      <c r="H18" s="13" t="s">
        <v>109</v>
      </c>
      <c r="I18" s="24">
        <f>COUNTIFS('Launch Plan'!$A$5:$A$126,H18,'Launch Plan'!$K$5:$K$126,"Complete")+COUNTIFS('Launch Plan'!$A$5:$A$126,H18,'Launch Plan'!$K$5:$K$126,"In Progress")+COUNTIFS('Launch Plan'!$A$5:$A$126,H18,'Launch Plan'!$K$5:$K$126,"Not Started")</f>
        <v>14</v>
      </c>
      <c r="J18" s="24">
        <f>COUNTIFS('Launch Plan'!$A$5:$A$126,H18,'Launch Plan'!$K$5:$K$126,"Complete")</f>
        <v>2</v>
      </c>
      <c r="K18" s="24">
        <f>COUNTIFS('Launch Plan'!$A$5:$A$126,H18,'Launch Plan'!$K$5:$K$126,"In Progress")</f>
        <v>0</v>
      </c>
      <c r="L18" s="24">
        <f>COUNTIFS('Launch Plan'!$A$5:$A$126,H18,'Launch Plan'!$K$5:$K$126,"Not Started")</f>
        <v>12</v>
      </c>
      <c r="M18" s="27">
        <f t="shared" si="0"/>
        <v>0.14285714285714285</v>
      </c>
      <c r="N18" s="14" t="str">
        <f t="shared" si="1"/>
        <v>PARTIAL</v>
      </c>
    </row>
    <row r="19" spans="1:14" x14ac:dyDescent="0.35">
      <c r="A19" s="8"/>
      <c r="B19" s="8"/>
      <c r="C19" s="8"/>
      <c r="D19" s="8"/>
      <c r="E19" s="8"/>
      <c r="F19" s="8"/>
      <c r="G19" s="8"/>
      <c r="H19" s="13" t="s">
        <v>142</v>
      </c>
      <c r="I19" s="24">
        <f>COUNTIFS('Launch Plan'!$A$5:$A$126,H19,'Launch Plan'!$K$5:$K$126,"Complete")+COUNTIFS('Launch Plan'!$A$5:$A$126,H19,'Launch Plan'!$K$5:$K$126,"In Progress")+COUNTIFS('Launch Plan'!$A$5:$A$126,H19,'Launch Plan'!$K$5:$K$126,"Not Started")</f>
        <v>12</v>
      </c>
      <c r="J19" s="24">
        <f>COUNTIFS('Launch Plan'!$A$5:$A$126,H19,'Launch Plan'!$K$5:$K$126,"Complete")</f>
        <v>0</v>
      </c>
      <c r="K19" s="24">
        <f>COUNTIFS('Launch Plan'!$A$5:$A$126,H19,'Launch Plan'!$K$5:$K$126,"In Progress")</f>
        <v>0</v>
      </c>
      <c r="L19" s="24">
        <f>COUNTIFS('Launch Plan'!$A$5:$A$126,H19,'Launch Plan'!$K$5:$K$126,"Not Started")</f>
        <v>12</v>
      </c>
      <c r="M19" s="27">
        <f t="shared" si="0"/>
        <v>0</v>
      </c>
      <c r="N19" s="14" t="str">
        <f t="shared" si="1"/>
        <v>NOT STARTED</v>
      </c>
    </row>
    <row r="20" spans="1:14" x14ac:dyDescent="0.35">
      <c r="A20" s="8"/>
      <c r="B20" s="8"/>
      <c r="C20" s="8"/>
      <c r="D20" s="8"/>
      <c r="E20" s="8"/>
      <c r="F20" s="8"/>
      <c r="G20" s="8"/>
      <c r="H20" s="13" t="s">
        <v>185</v>
      </c>
      <c r="I20" s="24">
        <f>COUNTIFS('Launch Plan'!$A$5:$A$126,H20,'Launch Plan'!$K$5:$K$126,"Complete")+COUNTIFS('Launch Plan'!$A$5:$A$126,H20,'Launch Plan'!$K$5:$K$126,"In Progress")+COUNTIFS('Launch Plan'!$A$5:$A$126,H20,'Launch Plan'!$K$5:$K$126,"Not Started")</f>
        <v>10</v>
      </c>
      <c r="J20" s="24">
        <f>COUNTIFS('Launch Plan'!$A$5:$A$126,H20,'Launch Plan'!$K$5:$K$126,"Complete")</f>
        <v>0</v>
      </c>
      <c r="K20" s="24">
        <f>COUNTIFS('Launch Plan'!$A$5:$A$126,H20,'Launch Plan'!$K$5:$K$126,"In Progress")</f>
        <v>0</v>
      </c>
      <c r="L20" s="24">
        <f>COUNTIFS('Launch Plan'!$A$5:$A$126,H20,'Launch Plan'!$K$5:$K$126,"Not Started")</f>
        <v>10</v>
      </c>
      <c r="M20" s="27">
        <f t="shared" si="0"/>
        <v>0</v>
      </c>
      <c r="N20" s="14" t="str">
        <f t="shared" si="1"/>
        <v>NOT STARTED</v>
      </c>
    </row>
    <row r="21" spans="1:14" x14ac:dyDescent="0.35">
      <c r="A21" s="8"/>
      <c r="B21" s="8"/>
      <c r="C21" s="8"/>
      <c r="D21" s="8"/>
      <c r="E21" s="8"/>
      <c r="F21" s="8"/>
      <c r="G21" s="8"/>
      <c r="H21" s="13" t="s">
        <v>216</v>
      </c>
      <c r="I21" s="24">
        <f>COUNTIFS('Launch Plan'!$A$5:$A$126,H21,'Launch Plan'!$K$5:$K$126,"Complete")+COUNTIFS('Launch Plan'!$A$5:$A$126,H21,'Launch Plan'!$K$5:$K$126,"In Progress")+COUNTIFS('Launch Plan'!$A$5:$A$126,H21,'Launch Plan'!$K$5:$K$126,"Not Started")</f>
        <v>19</v>
      </c>
      <c r="J21" s="24">
        <f>COUNTIFS('Launch Plan'!$A$5:$A$126,H21,'Launch Plan'!$K$5:$K$126,"Complete")</f>
        <v>0</v>
      </c>
      <c r="K21" s="24">
        <f>COUNTIFS('Launch Plan'!$A$5:$A$126,H21,'Launch Plan'!$K$5:$K$126,"In Progress")</f>
        <v>0</v>
      </c>
      <c r="L21" s="24">
        <f>COUNTIFS('Launch Plan'!$A$5:$A$126,H21,'Launch Plan'!$K$5:$K$126,"Not Started")</f>
        <v>19</v>
      </c>
      <c r="M21" s="27">
        <f t="shared" si="0"/>
        <v>0</v>
      </c>
      <c r="N21" s="14" t="str">
        <f t="shared" si="1"/>
        <v>NOT STARTED</v>
      </c>
    </row>
    <row r="22" spans="1:14" x14ac:dyDescent="0.35">
      <c r="A22" s="8"/>
      <c r="B22" s="8"/>
      <c r="C22" s="8"/>
      <c r="D22" s="8"/>
      <c r="E22" s="8"/>
      <c r="F22" s="8"/>
      <c r="G22" s="8"/>
      <c r="H22" s="15" t="s">
        <v>255</v>
      </c>
      <c r="I22" s="25">
        <f>COUNTIFS('Launch Plan'!$A$5:$A$126,H22,'Launch Plan'!$K$5:$K$126,"Complete")+COUNTIFS('Launch Plan'!$A$5:$A$126,H22,'Launch Plan'!$K$5:$K$126,"In Progress")+COUNTIFS('Launch Plan'!$A$5:$A$126,H22,'Launch Plan'!$K$5:$K$126,"Not Started")</f>
        <v>1</v>
      </c>
      <c r="J22" s="25">
        <f>COUNTIFS('Launch Plan'!$A$5:$A$126,H22,'Launch Plan'!$K$5:$K$126,"Complete")</f>
        <v>0</v>
      </c>
      <c r="K22" s="25">
        <f>COUNTIFS('Launch Plan'!$A$5:$A$126,H22,'Launch Plan'!$K$5:$K$126,"In Progress")</f>
        <v>0</v>
      </c>
      <c r="L22" s="25">
        <f>COUNTIFS('Launch Plan'!$A$5:$A$126,H22,'Launch Plan'!$K$5:$K$126,"Not Started")</f>
        <v>1</v>
      </c>
      <c r="M22" s="28">
        <f t="shared" si="0"/>
        <v>0</v>
      </c>
      <c r="N22" s="16" t="str">
        <f t="shared" si="1"/>
        <v>NOT STARTED</v>
      </c>
    </row>
    <row r="23" spans="1:14" x14ac:dyDescent="0.35">
      <c r="A23" s="8"/>
      <c r="B23" s="8"/>
      <c r="C23" s="8"/>
      <c r="D23" s="8"/>
      <c r="E23" s="8"/>
      <c r="F23" s="8"/>
      <c r="G23" s="8"/>
      <c r="H23" s="8"/>
      <c r="I23" s="8"/>
      <c r="J23" s="8"/>
      <c r="K23" s="8"/>
      <c r="L23" s="8"/>
      <c r="M23" s="8"/>
      <c r="N23" s="8"/>
    </row>
    <row r="24" spans="1:14" x14ac:dyDescent="0.35">
      <c r="A24" s="8"/>
      <c r="B24" s="8"/>
      <c r="C24" s="8"/>
      <c r="D24" s="8"/>
      <c r="E24" s="8"/>
      <c r="F24" s="8"/>
      <c r="G24" s="8"/>
      <c r="H24" s="8"/>
      <c r="I24" s="8"/>
      <c r="J24" s="8"/>
      <c r="K24" s="8"/>
      <c r="L24" s="8"/>
      <c r="M24" s="8"/>
      <c r="N24" s="8"/>
    </row>
    <row r="25" spans="1:14" x14ac:dyDescent="0.35">
      <c r="A25" s="8"/>
      <c r="B25" s="8"/>
      <c r="C25" s="8"/>
      <c r="D25" s="8"/>
      <c r="E25" s="8"/>
      <c r="F25" s="8"/>
      <c r="G25" s="8"/>
      <c r="H25" s="8"/>
      <c r="I25" s="8"/>
      <c r="J25" s="8"/>
      <c r="K25" s="8"/>
      <c r="L25" s="8"/>
      <c r="M25" s="8"/>
      <c r="N25" s="8"/>
    </row>
    <row r="26" spans="1:14" x14ac:dyDescent="0.35">
      <c r="A26" s="91" t="s">
        <v>294</v>
      </c>
      <c r="B26" s="69"/>
      <c r="C26" s="69"/>
      <c r="D26" s="69"/>
      <c r="E26" s="69"/>
      <c r="F26" s="69"/>
      <c r="G26" s="69"/>
      <c r="H26" s="69"/>
      <c r="I26" s="69"/>
      <c r="J26" s="69"/>
      <c r="K26" s="69"/>
      <c r="L26" s="69"/>
      <c r="M26" s="69"/>
      <c r="N26" s="69"/>
    </row>
    <row r="27" spans="1:14" x14ac:dyDescent="0.35">
      <c r="A27" s="88" t="s">
        <v>295</v>
      </c>
      <c r="B27" s="69"/>
      <c r="C27" s="69"/>
      <c r="D27" s="69"/>
      <c r="E27" s="69"/>
      <c r="F27" s="69"/>
      <c r="G27" s="69"/>
      <c r="H27" s="69"/>
      <c r="I27" s="69"/>
      <c r="J27" s="69"/>
      <c r="K27" s="69"/>
      <c r="L27" s="69"/>
      <c r="M27" s="69"/>
      <c r="N27" s="69"/>
    </row>
    <row r="28" spans="1:14" x14ac:dyDescent="0.35">
      <c r="A28" s="8"/>
      <c r="B28" s="8"/>
      <c r="C28" s="8"/>
      <c r="D28" s="8"/>
      <c r="E28" s="8"/>
      <c r="F28" s="8"/>
      <c r="G28" s="8"/>
      <c r="H28" s="8"/>
      <c r="I28" s="8"/>
      <c r="J28" s="8"/>
      <c r="K28" s="8"/>
      <c r="L28" s="8"/>
      <c r="M28" s="8"/>
      <c r="N28" s="8"/>
    </row>
    <row r="29" spans="1:14" x14ac:dyDescent="0.35">
      <c r="A29" s="29" t="s">
        <v>296</v>
      </c>
      <c r="B29" s="95" t="s">
        <v>167</v>
      </c>
      <c r="C29" s="82"/>
      <c r="D29" s="82"/>
      <c r="E29" s="82"/>
      <c r="F29" s="82"/>
      <c r="G29" s="82"/>
      <c r="H29" s="82"/>
      <c r="I29" s="82"/>
      <c r="J29" s="82"/>
      <c r="K29" s="82"/>
      <c r="L29" s="30" t="s">
        <v>12</v>
      </c>
      <c r="M29" s="30" t="s">
        <v>13</v>
      </c>
      <c r="N29" s="31" t="s">
        <v>297</v>
      </c>
    </row>
    <row r="30" spans="1:14" ht="28" customHeight="1" x14ac:dyDescent="0.35">
      <c r="A30" s="35" t="str">
        <f>'Launch Plan'!A71</f>
        <v>Alpha</v>
      </c>
      <c r="B30" s="83" t="str">
        <f>'Launch Plan'!D71</f>
        <v>PWA GATE: Alpha Habit-Stickiness passed</v>
      </c>
      <c r="C30" s="79"/>
      <c r="D30" s="79"/>
      <c r="E30" s="79"/>
      <c r="F30" s="79"/>
      <c r="G30" s="79"/>
      <c r="H30" s="79"/>
      <c r="I30" s="79"/>
      <c r="J30" s="79"/>
      <c r="K30" s="79"/>
      <c r="L30" s="38" t="str">
        <f>'Launch Plan'!K71</f>
        <v>Not Started</v>
      </c>
      <c r="M30" s="38" t="str">
        <f>'Launch Plan'!L71</f>
        <v>Yes</v>
      </c>
      <c r="N30" s="38" t="str">
        <f t="shared" ref="N30:N44" si="2">IF(L30="Complete","GO",IF(L30="In Progress","WATCH","NO-GO"))</f>
        <v>NO-GO</v>
      </c>
    </row>
    <row r="31" spans="1:14" ht="28" customHeight="1" x14ac:dyDescent="0.35">
      <c r="A31" s="36" t="str">
        <f>'Launch Plan'!A72</f>
        <v>PWA</v>
      </c>
      <c r="B31" s="81" t="str">
        <f>'Launch Plan'!D72</f>
        <v>PWA GATE: No Critical bugs open</v>
      </c>
      <c r="C31" s="82"/>
      <c r="D31" s="82"/>
      <c r="E31" s="82"/>
      <c r="F31" s="82"/>
      <c r="G31" s="82"/>
      <c r="H31" s="82"/>
      <c r="I31" s="82"/>
      <c r="J31" s="82"/>
      <c r="K31" s="82"/>
      <c r="L31" s="39" t="str">
        <f>'Launch Plan'!K72</f>
        <v>Not Started</v>
      </c>
      <c r="M31" s="39" t="str">
        <f>'Launch Plan'!L72</f>
        <v>Yes</v>
      </c>
      <c r="N31" s="39" t="str">
        <f t="shared" si="2"/>
        <v>NO-GO</v>
      </c>
    </row>
    <row r="32" spans="1:14" ht="28" customHeight="1" x14ac:dyDescent="0.35">
      <c r="A32" s="36" t="str">
        <f>'Launch Plan'!A73</f>
        <v>PWA</v>
      </c>
      <c r="B32" s="81" t="str">
        <f>'Launch Plan'!D73</f>
        <v>PWA GATE: Regression passed (real, non-zero test count)</v>
      </c>
      <c r="C32" s="82"/>
      <c r="D32" s="82"/>
      <c r="E32" s="82"/>
      <c r="F32" s="82"/>
      <c r="G32" s="82"/>
      <c r="H32" s="82"/>
      <c r="I32" s="82"/>
      <c r="J32" s="82"/>
      <c r="K32" s="82"/>
      <c r="L32" s="39" t="str">
        <f>'Launch Plan'!K73</f>
        <v>Not Started</v>
      </c>
      <c r="M32" s="39" t="str">
        <f>'Launch Plan'!L73</f>
        <v>Yes</v>
      </c>
      <c r="N32" s="39" t="str">
        <f t="shared" si="2"/>
        <v>NO-GO</v>
      </c>
    </row>
    <row r="33" spans="1:14" ht="28" customHeight="1" x14ac:dyDescent="0.35">
      <c r="A33" s="36" t="str">
        <f>'Launch Plan'!A74</f>
        <v>PWA</v>
      </c>
      <c r="B33" s="81" t="str">
        <f>'Launch Plan'!D74</f>
        <v>PWA GATE: Accessibility passed</v>
      </c>
      <c r="C33" s="82"/>
      <c r="D33" s="82"/>
      <c r="E33" s="82"/>
      <c r="F33" s="82"/>
      <c r="G33" s="82"/>
      <c r="H33" s="82"/>
      <c r="I33" s="82"/>
      <c r="J33" s="82"/>
      <c r="K33" s="82"/>
      <c r="L33" s="39" t="str">
        <f>'Launch Plan'!K74</f>
        <v>Not Started</v>
      </c>
      <c r="M33" s="39" t="str">
        <f>'Launch Plan'!L74</f>
        <v>Yes</v>
      </c>
      <c r="N33" s="39" t="str">
        <f t="shared" si="2"/>
        <v>NO-GO</v>
      </c>
    </row>
    <row r="34" spans="1:14" ht="28" customHeight="1" x14ac:dyDescent="0.35">
      <c r="A34" s="36" t="str">
        <f>'Launch Plan'!A75</f>
        <v>PWA</v>
      </c>
      <c r="B34" s="81" t="str">
        <f>'Launch Plan'!D75</f>
        <v>PWA GATE: Privacy Policy hosted AND deletion confirmed working</v>
      </c>
      <c r="C34" s="82"/>
      <c r="D34" s="82"/>
      <c r="E34" s="82"/>
      <c r="F34" s="82"/>
      <c r="G34" s="82"/>
      <c r="H34" s="82"/>
      <c r="I34" s="82"/>
      <c r="J34" s="82"/>
      <c r="K34" s="82"/>
      <c r="L34" s="39" t="str">
        <f>'Launch Plan'!K75</f>
        <v>Not Started</v>
      </c>
      <c r="M34" s="39" t="str">
        <f>'Launch Plan'!L75</f>
        <v>Yes</v>
      </c>
      <c r="N34" s="39" t="str">
        <f t="shared" si="2"/>
        <v>NO-GO</v>
      </c>
    </row>
    <row r="35" spans="1:14" ht="28" customHeight="1" x14ac:dyDescent="0.35">
      <c r="A35" s="36" t="str">
        <f>'Launch Plan'!A76</f>
        <v>PWA</v>
      </c>
      <c r="B35" s="81" t="str">
        <f>'Launch Plan'!D76</f>
        <v>PWA GATE: Support inbox staffed and monitored</v>
      </c>
      <c r="C35" s="82"/>
      <c r="D35" s="82"/>
      <c r="E35" s="82"/>
      <c r="F35" s="82"/>
      <c r="G35" s="82"/>
      <c r="H35" s="82"/>
      <c r="I35" s="82"/>
      <c r="J35" s="82"/>
      <c r="K35" s="82"/>
      <c r="L35" s="39" t="str">
        <f>'Launch Plan'!K76</f>
        <v>Not Started</v>
      </c>
      <c r="M35" s="39" t="str">
        <f>'Launch Plan'!L76</f>
        <v>Yes</v>
      </c>
      <c r="N35" s="39" t="str">
        <f t="shared" si="2"/>
        <v>NO-GO</v>
      </c>
    </row>
    <row r="36" spans="1:14" ht="28" customHeight="1" x14ac:dyDescent="0.35">
      <c r="A36" s="36" t="str">
        <f>'Launch Plan'!A77</f>
        <v>PWA</v>
      </c>
      <c r="B36" s="81" t="str">
        <f>'Launch Plan'!D77</f>
        <v>PWA GATE: Analytics clean (no undercounts, rollups un-blended)</v>
      </c>
      <c r="C36" s="82"/>
      <c r="D36" s="82"/>
      <c r="E36" s="82"/>
      <c r="F36" s="82"/>
      <c r="G36" s="82"/>
      <c r="H36" s="82"/>
      <c r="I36" s="82"/>
      <c r="J36" s="82"/>
      <c r="K36" s="82"/>
      <c r="L36" s="39" t="str">
        <f>'Launch Plan'!K77</f>
        <v>Not Started</v>
      </c>
      <c r="M36" s="39" t="str">
        <f>'Launch Plan'!L77</f>
        <v>Yes</v>
      </c>
      <c r="N36" s="39" t="str">
        <f t="shared" si="2"/>
        <v>NO-GO</v>
      </c>
    </row>
    <row r="37" spans="1:14" ht="28" customHeight="1" x14ac:dyDescent="0.35">
      <c r="A37" s="36" t="str">
        <f>'Launch Plan'!A78</f>
        <v>PWA</v>
      </c>
      <c r="B37" s="81" t="str">
        <f>'Launch Plan'!D78</f>
        <v>PWA GATE: Real-User Acquisition floor met, or explicit conscious-small-launch decision recorded</v>
      </c>
      <c r="C37" s="82"/>
      <c r="D37" s="82"/>
      <c r="E37" s="82"/>
      <c r="F37" s="82"/>
      <c r="G37" s="82"/>
      <c r="H37" s="82"/>
      <c r="I37" s="82"/>
      <c r="J37" s="82"/>
      <c r="K37" s="82"/>
      <c r="L37" s="39" t="str">
        <f>'Launch Plan'!K78</f>
        <v>Not Started</v>
      </c>
      <c r="M37" s="39" t="str">
        <f>'Launch Plan'!L78</f>
        <v>Yes</v>
      </c>
      <c r="N37" s="39" t="str">
        <f t="shared" si="2"/>
        <v>NO-GO</v>
      </c>
    </row>
    <row r="38" spans="1:14" ht="28" customHeight="1" x14ac:dyDescent="0.35">
      <c r="A38" s="36" t="str">
        <f>'Launch Plan'!A79</f>
        <v>PWA</v>
      </c>
      <c r="B38" s="81" t="str">
        <f>'Launch Plan'!D79</f>
        <v>PWA GATE: Founder approval, in writing, same day</v>
      </c>
      <c r="C38" s="82"/>
      <c r="D38" s="82"/>
      <c r="E38" s="82"/>
      <c r="F38" s="82"/>
      <c r="G38" s="82"/>
      <c r="H38" s="82"/>
      <c r="I38" s="82"/>
      <c r="J38" s="82"/>
      <c r="K38" s="82"/>
      <c r="L38" s="39" t="str">
        <f>'Launch Plan'!K79</f>
        <v>Not Started</v>
      </c>
      <c r="M38" s="39" t="str">
        <f>'Launch Plan'!L79</f>
        <v>Yes</v>
      </c>
      <c r="N38" s="39" t="str">
        <f t="shared" si="2"/>
        <v>NO-GO</v>
      </c>
    </row>
    <row r="39" spans="1:14" ht="28" customHeight="1" x14ac:dyDescent="0.35">
      <c r="A39" s="36" t="str">
        <f>'Launch Plan'!A80</f>
        <v>PWA</v>
      </c>
      <c r="B39" s="81" t="str">
        <f>'Launch Plan'!D80</f>
        <v>PWA GATE: ask-vet-assistant rate limiting / abuse protection shipped</v>
      </c>
      <c r="C39" s="82"/>
      <c r="D39" s="82"/>
      <c r="E39" s="82"/>
      <c r="F39" s="82"/>
      <c r="G39" s="82"/>
      <c r="H39" s="82"/>
      <c r="I39" s="82"/>
      <c r="J39" s="82"/>
      <c r="K39" s="82"/>
      <c r="L39" s="39" t="str">
        <f>'Launch Plan'!K80</f>
        <v>Not Started</v>
      </c>
      <c r="M39" s="39" t="str">
        <f>'Launch Plan'!L80</f>
        <v>Yes</v>
      </c>
      <c r="N39" s="39" t="str">
        <f t="shared" si="2"/>
        <v>NO-GO</v>
      </c>
    </row>
    <row r="40" spans="1:14" ht="28" customHeight="1" x14ac:dyDescent="0.35">
      <c r="A40" s="36" t="str">
        <f>'Launch Plan'!A112</f>
        <v>App Store</v>
      </c>
      <c r="B40" s="81" t="str">
        <f>'Launch Plan'!D112</f>
        <v>APP STORE GATE: PWA already passed Go/No-Go and ran 21+ consecutive clean usage days</v>
      </c>
      <c r="C40" s="82"/>
      <c r="D40" s="82"/>
      <c r="E40" s="82"/>
      <c r="F40" s="82"/>
      <c r="G40" s="82"/>
      <c r="H40" s="82"/>
      <c r="I40" s="82"/>
      <c r="J40" s="82"/>
      <c r="K40" s="82"/>
      <c r="L40" s="39" t="str">
        <f>'Launch Plan'!K112</f>
        <v>Not Started</v>
      </c>
      <c r="M40" s="39" t="str">
        <f>'Launch Plan'!L112</f>
        <v>Yes</v>
      </c>
      <c r="N40" s="39" t="str">
        <f t="shared" si="2"/>
        <v>NO-GO</v>
      </c>
    </row>
    <row r="41" spans="1:14" ht="28" customHeight="1" x14ac:dyDescent="0.35">
      <c r="A41" s="36" t="str">
        <f>'Launch Plan'!A113</f>
        <v>App Store</v>
      </c>
      <c r="B41" s="81" t="str">
        <f>'Launch Plan'!D113</f>
        <v>APP STORE GATE: Business Readiness complete</v>
      </c>
      <c r="C41" s="82"/>
      <c r="D41" s="82"/>
      <c r="E41" s="82"/>
      <c r="F41" s="82"/>
      <c r="G41" s="82"/>
      <c r="H41" s="82"/>
      <c r="I41" s="82"/>
      <c r="J41" s="82"/>
      <c r="K41" s="82"/>
      <c r="L41" s="39" t="str">
        <f>'Launch Plan'!K113</f>
        <v>Not Started</v>
      </c>
      <c r="M41" s="39" t="str">
        <f>'Launch Plan'!L113</f>
        <v>Yes</v>
      </c>
      <c r="N41" s="39" t="str">
        <f t="shared" si="2"/>
        <v>NO-GO</v>
      </c>
    </row>
    <row r="42" spans="1:14" ht="28" customHeight="1" x14ac:dyDescent="0.35">
      <c r="A42" s="36" t="str">
        <f>'Launch Plan'!A114</f>
        <v>App Store</v>
      </c>
      <c r="B42" s="81" t="str">
        <f>'Launch Plan'!D114</f>
        <v>APP STORE GATE: Capacitor builds pass internal testing, no Critical bugs</v>
      </c>
      <c r="C42" s="82"/>
      <c r="D42" s="82"/>
      <c r="E42" s="82"/>
      <c r="F42" s="82"/>
      <c r="G42" s="82"/>
      <c r="H42" s="82"/>
      <c r="I42" s="82"/>
      <c r="J42" s="82"/>
      <c r="K42" s="82"/>
      <c r="L42" s="39" t="str">
        <f>'Launch Plan'!K114</f>
        <v>Not Started</v>
      </c>
      <c r="M42" s="39" t="str">
        <f>'Launch Plan'!L114</f>
        <v>Yes</v>
      </c>
      <c r="N42" s="39" t="str">
        <f t="shared" si="2"/>
        <v>NO-GO</v>
      </c>
    </row>
    <row r="43" spans="1:14" ht="28" customHeight="1" x14ac:dyDescent="0.35">
      <c r="A43" s="36" t="str">
        <f>'Launch Plan'!A115</f>
        <v>App Store</v>
      </c>
      <c r="B43" s="81" t="str">
        <f>'Launch Plan'!D115</f>
        <v>APP STORE GATE: All Requirements items complete for both stores</v>
      </c>
      <c r="C43" s="82"/>
      <c r="D43" s="82"/>
      <c r="E43" s="82"/>
      <c r="F43" s="82"/>
      <c r="G43" s="82"/>
      <c r="H43" s="82"/>
      <c r="I43" s="82"/>
      <c r="J43" s="82"/>
      <c r="K43" s="82"/>
      <c r="L43" s="39" t="str">
        <f>'Launch Plan'!K115</f>
        <v>Not Started</v>
      </c>
      <c r="M43" s="39" t="str">
        <f>'Launch Plan'!L115</f>
        <v>Yes</v>
      </c>
      <c r="N43" s="39" t="str">
        <f t="shared" si="2"/>
        <v>NO-GO</v>
      </c>
    </row>
    <row r="44" spans="1:14" ht="28" customHeight="1" x14ac:dyDescent="0.35">
      <c r="A44" s="37" t="str">
        <f>'Launch Plan'!A116</f>
        <v>App Store</v>
      </c>
      <c r="B44" s="94" t="str">
        <f>'Launch Plan'!D116</f>
        <v>APP STORE GATE: Explicit decision recorded — still worth pursuing given PWA results?</v>
      </c>
      <c r="C44" s="74"/>
      <c r="D44" s="74"/>
      <c r="E44" s="74"/>
      <c r="F44" s="74"/>
      <c r="G44" s="74"/>
      <c r="H44" s="74"/>
      <c r="I44" s="74"/>
      <c r="J44" s="74"/>
      <c r="K44" s="74"/>
      <c r="L44" s="40" t="str">
        <f>'Launch Plan'!K116</f>
        <v>Not Started</v>
      </c>
      <c r="M44" s="40" t="str">
        <f>'Launch Plan'!L116</f>
        <v>Yes</v>
      </c>
      <c r="N44" s="40" t="str">
        <f t="shared" si="2"/>
        <v>NO-GO</v>
      </c>
    </row>
    <row r="45" spans="1:14" x14ac:dyDescent="0.35">
      <c r="A45" s="8"/>
      <c r="B45" s="8"/>
      <c r="C45" s="8"/>
      <c r="D45" s="8"/>
      <c r="E45" s="8"/>
      <c r="F45" s="8"/>
      <c r="G45" s="8"/>
      <c r="H45" s="8"/>
      <c r="I45" s="8"/>
      <c r="J45" s="8"/>
      <c r="K45" s="8"/>
      <c r="L45" s="8"/>
      <c r="M45" s="8"/>
      <c r="N45" s="8"/>
    </row>
    <row r="46" spans="1:14" x14ac:dyDescent="0.35">
      <c r="A46" s="8"/>
      <c r="B46" s="8"/>
      <c r="C46" s="8"/>
      <c r="D46" s="8"/>
      <c r="E46" s="8"/>
      <c r="F46" s="8"/>
      <c r="G46" s="8"/>
      <c r="H46" s="8"/>
      <c r="I46" s="8"/>
      <c r="J46" s="8"/>
      <c r="K46" s="8"/>
      <c r="L46" s="8"/>
      <c r="M46" s="8"/>
      <c r="N46" s="8"/>
    </row>
    <row r="47" spans="1:14" x14ac:dyDescent="0.35">
      <c r="A47" s="91" t="s">
        <v>298</v>
      </c>
      <c r="B47" s="69"/>
      <c r="C47" s="69"/>
      <c r="D47" s="69"/>
      <c r="E47" s="69"/>
      <c r="F47" s="69"/>
      <c r="G47" s="69"/>
      <c r="H47" s="69"/>
      <c r="I47" s="69"/>
      <c r="J47" s="69"/>
      <c r="K47" s="69"/>
      <c r="L47" s="69"/>
      <c r="M47" s="69"/>
      <c r="N47" s="69"/>
    </row>
    <row r="48" spans="1:14" x14ac:dyDescent="0.35">
      <c r="A48" s="8"/>
      <c r="B48" s="8"/>
      <c r="C48" s="8"/>
      <c r="D48" s="8"/>
      <c r="E48" s="8"/>
      <c r="F48" s="8"/>
      <c r="G48" s="8"/>
      <c r="H48" s="8"/>
      <c r="I48" s="8"/>
      <c r="J48" s="8"/>
      <c r="K48" s="8"/>
      <c r="L48" s="8"/>
      <c r="M48" s="8"/>
      <c r="N48" s="8"/>
    </row>
    <row r="49" spans="1:14" x14ac:dyDescent="0.35">
      <c r="A49" s="41" t="s">
        <v>2</v>
      </c>
      <c r="B49" s="41" t="s">
        <v>3</v>
      </c>
      <c r="C49" s="41" t="s">
        <v>291</v>
      </c>
      <c r="D49" s="41" t="s">
        <v>21</v>
      </c>
      <c r="E49" s="41" t="s">
        <v>77</v>
      </c>
      <c r="F49" s="41" t="s">
        <v>70</v>
      </c>
      <c r="G49" s="41" t="s">
        <v>292</v>
      </c>
      <c r="H49" s="41" t="s">
        <v>293</v>
      </c>
      <c r="I49" s="8"/>
      <c r="J49" s="8"/>
      <c r="K49" s="8"/>
      <c r="L49" s="8"/>
      <c r="M49" s="8"/>
      <c r="N49" s="8"/>
    </row>
    <row r="50" spans="1:14" x14ac:dyDescent="0.35">
      <c r="A50" s="32" t="s">
        <v>15</v>
      </c>
      <c r="B50" s="32" t="s">
        <v>16</v>
      </c>
      <c r="C50" s="32">
        <f>COUNTIFS('Launch Plan'!$A$5:$A$126,A50,'Launch Plan'!$B$5:$B$126,B50,'Launch Plan'!$K$5:$K$126,"Complete")+COUNTIFS('Launch Plan'!$A$5:$A$126,A50,'Launch Plan'!$B$5:$B$126,B50,'Launch Plan'!$K$5:$K$126,"In Progress")+COUNTIFS('Launch Plan'!$A$5:$A$126,A50,'Launch Plan'!$B$5:$B$126,B50,'Launch Plan'!$K$5:$K$126,"Not Started")</f>
        <v>8</v>
      </c>
      <c r="D50" s="32">
        <f>COUNTIFS('Launch Plan'!$A$5:$A$126,A50,'Launch Plan'!$B$5:$B$126,B50,'Launch Plan'!$K$5:$K$126,"Complete")</f>
        <v>8</v>
      </c>
      <c r="E50" s="32">
        <f>COUNTIFS('Launch Plan'!$A$5:$A$126,A50,'Launch Plan'!$B$5:$B$126,B50,'Launch Plan'!$K$5:$K$126,"In Progress")</f>
        <v>0</v>
      </c>
      <c r="F50" s="32">
        <f>COUNTIFS('Launch Plan'!$A$5:$A$126,A50,'Launch Plan'!$B$5:$B$126,B50,'Launch Plan'!$K$5:$K$126,"Not Started")</f>
        <v>0</v>
      </c>
      <c r="G50" s="42">
        <f t="shared" ref="G50:G75" si="3">IFERROR(D50/C50,0)</f>
        <v>1</v>
      </c>
      <c r="H50" s="32" t="str">
        <f t="shared" ref="H50:H75" si="4">IF(G50=1,"READY",IF(E50&gt;0,"MOVING",IF(G50&gt;0,"PARTIAL","NOT STARTED")))</f>
        <v>READY</v>
      </c>
      <c r="I50" s="8"/>
      <c r="J50" s="8"/>
      <c r="K50" s="8"/>
      <c r="L50" s="8"/>
      <c r="M50" s="8"/>
      <c r="N50" s="8"/>
    </row>
    <row r="51" spans="1:14" x14ac:dyDescent="0.35">
      <c r="A51" s="33" t="s">
        <v>15</v>
      </c>
      <c r="B51" s="33" t="s">
        <v>56</v>
      </c>
      <c r="C51" s="33">
        <f>COUNTIFS('Launch Plan'!$A$5:$A$126,A51,'Launch Plan'!$B$5:$B$126,B51,'Launch Plan'!$K$5:$K$126,"Complete")+COUNTIFS('Launch Plan'!$A$5:$A$126,A51,'Launch Plan'!$B$5:$B$126,B51,'Launch Plan'!$K$5:$K$126,"In Progress")+COUNTIFS('Launch Plan'!$A$5:$A$126,A51,'Launch Plan'!$B$5:$B$126,B51,'Launch Plan'!$K$5:$K$126,"Not Started")</f>
        <v>15</v>
      </c>
      <c r="D51" s="33">
        <f>COUNTIFS('Launch Plan'!$A$5:$A$126,A51,'Launch Plan'!$B$5:$B$126,B51,'Launch Plan'!$K$5:$K$126,"Complete")</f>
        <v>7</v>
      </c>
      <c r="E51" s="33">
        <f>COUNTIFS('Launch Plan'!$A$5:$A$126,A51,'Launch Plan'!$B$5:$B$126,B51,'Launch Plan'!$K$5:$K$126,"In Progress")</f>
        <v>1</v>
      </c>
      <c r="F51" s="33">
        <f>COUNTIFS('Launch Plan'!$A$5:$A$126,A51,'Launch Plan'!$B$5:$B$126,B51,'Launch Plan'!$K$5:$K$126,"Not Started")</f>
        <v>7</v>
      </c>
      <c r="G51" s="43">
        <f t="shared" si="3"/>
        <v>0.46666666666666667</v>
      </c>
      <c r="H51" s="33" t="str">
        <f t="shared" si="4"/>
        <v>MOVING</v>
      </c>
      <c r="I51" s="8"/>
      <c r="J51" s="8"/>
      <c r="K51" s="8"/>
      <c r="L51" s="8"/>
      <c r="M51" s="8"/>
      <c r="N51" s="8"/>
    </row>
    <row r="52" spans="1:14" x14ac:dyDescent="0.35">
      <c r="A52" s="33" t="s">
        <v>15</v>
      </c>
      <c r="B52" s="33" t="s">
        <v>171</v>
      </c>
      <c r="C52" s="33">
        <f>COUNTIFS('Launch Plan'!$A$5:$A$126,A52,'Launch Plan'!$B$5:$B$126,B52,'Launch Plan'!$K$5:$K$126,"Complete")+COUNTIFS('Launch Plan'!$A$5:$A$126,A52,'Launch Plan'!$B$5:$B$126,B52,'Launch Plan'!$K$5:$K$126,"In Progress")+COUNTIFS('Launch Plan'!$A$5:$A$126,A52,'Launch Plan'!$B$5:$B$126,B52,'Launch Plan'!$K$5:$K$126,"Not Started")</f>
        <v>9</v>
      </c>
      <c r="D52" s="33">
        <f>COUNTIFS('Launch Plan'!$A$5:$A$126,A52,'Launch Plan'!$B$5:$B$126,B52,'Launch Plan'!$K$5:$K$126,"Complete")</f>
        <v>0</v>
      </c>
      <c r="E52" s="33">
        <f>COUNTIFS('Launch Plan'!$A$5:$A$126,A52,'Launch Plan'!$B$5:$B$126,B52,'Launch Plan'!$K$5:$K$126,"In Progress")</f>
        <v>0</v>
      </c>
      <c r="F52" s="33">
        <f>COUNTIFS('Launch Plan'!$A$5:$A$126,A52,'Launch Plan'!$B$5:$B$126,B52,'Launch Plan'!$K$5:$K$126,"Not Started")</f>
        <v>9</v>
      </c>
      <c r="G52" s="43">
        <f t="shared" si="3"/>
        <v>0</v>
      </c>
      <c r="H52" s="33" t="str">
        <f t="shared" si="4"/>
        <v>NOT STARTED</v>
      </c>
      <c r="I52" s="8"/>
      <c r="J52" s="8"/>
      <c r="K52" s="8"/>
      <c r="L52" s="8"/>
      <c r="M52" s="8"/>
      <c r="N52" s="8"/>
    </row>
    <row r="53" spans="1:14" x14ac:dyDescent="0.35">
      <c r="A53" s="33" t="s">
        <v>15</v>
      </c>
      <c r="B53" s="33" t="s">
        <v>270</v>
      </c>
      <c r="C53" s="33">
        <f>COUNTIFS('Launch Plan'!$A$5:$A$126,A53,'Launch Plan'!$B$5:$B$126,B53,'Launch Plan'!$K$5:$K$126,"Complete")+COUNTIFS('Launch Plan'!$A$5:$A$126,A53,'Launch Plan'!$B$5:$B$126,B53,'Launch Plan'!$K$5:$K$126,"In Progress")+COUNTIFS('Launch Plan'!$A$5:$A$126,A53,'Launch Plan'!$B$5:$B$126,B53,'Launch Plan'!$K$5:$K$126,"Not Started")</f>
        <v>1</v>
      </c>
      <c r="D53" s="33">
        <f>COUNTIFS('Launch Plan'!$A$5:$A$126,A53,'Launch Plan'!$B$5:$B$126,B53,'Launch Plan'!$K$5:$K$126,"Complete")</f>
        <v>0</v>
      </c>
      <c r="E53" s="33">
        <f>COUNTIFS('Launch Plan'!$A$5:$A$126,A53,'Launch Plan'!$B$5:$B$126,B53,'Launch Plan'!$K$5:$K$126,"In Progress")</f>
        <v>0</v>
      </c>
      <c r="F53" s="33">
        <f>COUNTIFS('Launch Plan'!$A$5:$A$126,A53,'Launch Plan'!$B$5:$B$126,B53,'Launch Plan'!$K$5:$K$126,"Not Started")</f>
        <v>1</v>
      </c>
      <c r="G53" s="43">
        <f t="shared" si="3"/>
        <v>0</v>
      </c>
      <c r="H53" s="33" t="str">
        <f t="shared" si="4"/>
        <v>NOT STARTED</v>
      </c>
      <c r="I53" s="8"/>
      <c r="J53" s="8"/>
      <c r="K53" s="8"/>
      <c r="L53" s="8"/>
      <c r="M53" s="8"/>
      <c r="N53" s="8"/>
    </row>
    <row r="54" spans="1:14" x14ac:dyDescent="0.35">
      <c r="A54" s="33" t="s">
        <v>15</v>
      </c>
      <c r="B54" s="33" t="s">
        <v>217</v>
      </c>
      <c r="C54" s="33">
        <f>COUNTIFS('Launch Plan'!$A$5:$A$126,A54,'Launch Plan'!$B$5:$B$126,B54,'Launch Plan'!$K$5:$K$126,"Complete")+COUNTIFS('Launch Plan'!$A$5:$A$126,A54,'Launch Plan'!$B$5:$B$126,B54,'Launch Plan'!$K$5:$K$126,"In Progress")+COUNTIFS('Launch Plan'!$A$5:$A$126,A54,'Launch Plan'!$B$5:$B$126,B54,'Launch Plan'!$K$5:$K$126,"Not Started")</f>
        <v>1</v>
      </c>
      <c r="D54" s="33">
        <f>COUNTIFS('Launch Plan'!$A$5:$A$126,A54,'Launch Plan'!$B$5:$B$126,B54,'Launch Plan'!$K$5:$K$126,"Complete")</f>
        <v>0</v>
      </c>
      <c r="E54" s="33">
        <f>COUNTIFS('Launch Plan'!$A$5:$A$126,A54,'Launch Plan'!$B$5:$B$126,B54,'Launch Plan'!$K$5:$K$126,"In Progress")</f>
        <v>0</v>
      </c>
      <c r="F54" s="33">
        <f>COUNTIFS('Launch Plan'!$A$5:$A$126,A54,'Launch Plan'!$B$5:$B$126,B54,'Launch Plan'!$K$5:$K$126,"Not Started")</f>
        <v>1</v>
      </c>
      <c r="G54" s="43">
        <f t="shared" si="3"/>
        <v>0</v>
      </c>
      <c r="H54" s="33" t="str">
        <f t="shared" si="4"/>
        <v>NOT STARTED</v>
      </c>
      <c r="I54" s="8"/>
      <c r="J54" s="8"/>
      <c r="K54" s="8"/>
      <c r="L54" s="8"/>
      <c r="M54" s="8"/>
      <c r="N54" s="8"/>
    </row>
    <row r="55" spans="1:14" x14ac:dyDescent="0.35">
      <c r="A55" s="33" t="s">
        <v>46</v>
      </c>
      <c r="B55" s="33" t="s">
        <v>47</v>
      </c>
      <c r="C55" s="33">
        <f>COUNTIFS('Launch Plan'!$A$5:$A$126,A55,'Launch Plan'!$B$5:$B$126,B55,'Launch Plan'!$K$5:$K$126,"Complete")+COUNTIFS('Launch Plan'!$A$5:$A$126,A55,'Launch Plan'!$B$5:$B$126,B55,'Launch Plan'!$K$5:$K$126,"In Progress")+COUNTIFS('Launch Plan'!$A$5:$A$126,A55,'Launch Plan'!$B$5:$B$126,B55,'Launch Plan'!$K$5:$K$126,"Not Started")</f>
        <v>2</v>
      </c>
      <c r="D55" s="33">
        <f>COUNTIFS('Launch Plan'!$A$5:$A$126,A55,'Launch Plan'!$B$5:$B$126,B55,'Launch Plan'!$K$5:$K$126,"Complete")</f>
        <v>2</v>
      </c>
      <c r="E55" s="33">
        <f>COUNTIFS('Launch Plan'!$A$5:$A$126,A55,'Launch Plan'!$B$5:$B$126,B55,'Launch Plan'!$K$5:$K$126,"In Progress")</f>
        <v>0</v>
      </c>
      <c r="F55" s="33">
        <f>COUNTIFS('Launch Plan'!$A$5:$A$126,A55,'Launch Plan'!$B$5:$B$126,B55,'Launch Plan'!$K$5:$K$126,"Not Started")</f>
        <v>0</v>
      </c>
      <c r="G55" s="43">
        <f t="shared" si="3"/>
        <v>1</v>
      </c>
      <c r="H55" s="33" t="str">
        <f t="shared" si="4"/>
        <v>READY</v>
      </c>
      <c r="I55" s="8"/>
      <c r="J55" s="8"/>
      <c r="K55" s="8"/>
      <c r="L55" s="8"/>
      <c r="M55" s="8"/>
      <c r="N55" s="8"/>
    </row>
    <row r="56" spans="1:14" x14ac:dyDescent="0.35">
      <c r="A56" s="33" t="s">
        <v>46</v>
      </c>
      <c r="B56" s="33" t="s">
        <v>50</v>
      </c>
      <c r="C56" s="33">
        <f>COUNTIFS('Launch Plan'!$A$5:$A$126,A56,'Launch Plan'!$B$5:$B$126,B56,'Launch Plan'!$K$5:$K$126,"Complete")+COUNTIFS('Launch Plan'!$A$5:$A$126,A56,'Launch Plan'!$B$5:$B$126,B56,'Launch Plan'!$K$5:$K$126,"In Progress")+COUNTIFS('Launch Plan'!$A$5:$A$126,A56,'Launch Plan'!$B$5:$B$126,B56,'Launch Plan'!$K$5:$K$126,"Not Started")</f>
        <v>3</v>
      </c>
      <c r="D56" s="33">
        <f>COUNTIFS('Launch Plan'!$A$5:$A$126,A56,'Launch Plan'!$B$5:$B$126,B56,'Launch Plan'!$K$5:$K$126,"Complete")</f>
        <v>2</v>
      </c>
      <c r="E56" s="33">
        <f>COUNTIFS('Launch Plan'!$A$5:$A$126,A56,'Launch Plan'!$B$5:$B$126,B56,'Launch Plan'!$K$5:$K$126,"In Progress")</f>
        <v>0</v>
      </c>
      <c r="F56" s="33">
        <f>COUNTIFS('Launch Plan'!$A$5:$A$126,A56,'Launch Plan'!$B$5:$B$126,B56,'Launch Plan'!$K$5:$K$126,"Not Started")</f>
        <v>1</v>
      </c>
      <c r="G56" s="43">
        <f t="shared" si="3"/>
        <v>0.66666666666666663</v>
      </c>
      <c r="H56" s="33" t="str">
        <f t="shared" si="4"/>
        <v>PARTIAL</v>
      </c>
      <c r="I56" s="8"/>
      <c r="J56" s="8"/>
      <c r="K56" s="8"/>
      <c r="L56" s="8"/>
      <c r="M56" s="8"/>
      <c r="N56" s="8"/>
    </row>
    <row r="57" spans="1:14" x14ac:dyDescent="0.35">
      <c r="A57" s="33" t="s">
        <v>86</v>
      </c>
      <c r="B57" s="33" t="s">
        <v>87</v>
      </c>
      <c r="C57" s="33">
        <f>COUNTIFS('Launch Plan'!$A$5:$A$126,A57,'Launch Plan'!$B$5:$B$126,B57,'Launch Plan'!$K$5:$K$126,"Complete")+COUNTIFS('Launch Plan'!$A$5:$A$126,A57,'Launch Plan'!$B$5:$B$126,B57,'Launch Plan'!$K$5:$K$126,"In Progress")+COUNTIFS('Launch Plan'!$A$5:$A$126,A57,'Launch Plan'!$B$5:$B$126,B57,'Launch Plan'!$K$5:$K$126,"Not Started")</f>
        <v>1</v>
      </c>
      <c r="D57" s="33">
        <f>COUNTIFS('Launch Plan'!$A$5:$A$126,A57,'Launch Plan'!$B$5:$B$126,B57,'Launch Plan'!$K$5:$K$126,"Complete")</f>
        <v>0</v>
      </c>
      <c r="E57" s="33">
        <f>COUNTIFS('Launch Plan'!$A$5:$A$126,A57,'Launch Plan'!$B$5:$B$126,B57,'Launch Plan'!$K$5:$K$126,"In Progress")</f>
        <v>0</v>
      </c>
      <c r="F57" s="33">
        <f>COUNTIFS('Launch Plan'!$A$5:$A$126,A57,'Launch Plan'!$B$5:$B$126,B57,'Launch Plan'!$K$5:$K$126,"Not Started")</f>
        <v>1</v>
      </c>
      <c r="G57" s="43">
        <f t="shared" si="3"/>
        <v>0</v>
      </c>
      <c r="H57" s="33" t="str">
        <f t="shared" si="4"/>
        <v>NOT STARTED</v>
      </c>
      <c r="I57" s="8"/>
      <c r="J57" s="8"/>
      <c r="K57" s="8"/>
      <c r="L57" s="8"/>
      <c r="M57" s="8"/>
      <c r="N57" s="8"/>
    </row>
    <row r="58" spans="1:14" x14ac:dyDescent="0.35">
      <c r="A58" s="33" t="s">
        <v>92</v>
      </c>
      <c r="B58" s="33" t="s">
        <v>93</v>
      </c>
      <c r="C58" s="33">
        <f>COUNTIFS('Launch Plan'!$A$5:$A$126,A58,'Launch Plan'!$B$5:$B$126,B58,'Launch Plan'!$K$5:$K$126,"Complete")+COUNTIFS('Launch Plan'!$A$5:$A$126,A58,'Launch Plan'!$B$5:$B$126,B58,'Launch Plan'!$K$5:$K$126,"In Progress")+COUNTIFS('Launch Plan'!$A$5:$A$126,A58,'Launch Plan'!$B$5:$B$126,B58,'Launch Plan'!$K$5:$K$126,"Not Started")</f>
        <v>1</v>
      </c>
      <c r="D58" s="33">
        <f>COUNTIFS('Launch Plan'!$A$5:$A$126,A58,'Launch Plan'!$B$5:$B$126,B58,'Launch Plan'!$K$5:$K$126,"Complete")</f>
        <v>0</v>
      </c>
      <c r="E58" s="33">
        <f>COUNTIFS('Launch Plan'!$A$5:$A$126,A58,'Launch Plan'!$B$5:$B$126,B58,'Launch Plan'!$K$5:$K$126,"In Progress")</f>
        <v>0</v>
      </c>
      <c r="F58" s="33">
        <f>COUNTIFS('Launch Plan'!$A$5:$A$126,A58,'Launch Plan'!$B$5:$B$126,B58,'Launch Plan'!$K$5:$K$126,"Not Started")</f>
        <v>1</v>
      </c>
      <c r="G58" s="43">
        <f t="shared" si="3"/>
        <v>0</v>
      </c>
      <c r="H58" s="33" t="str">
        <f t="shared" si="4"/>
        <v>NOT STARTED</v>
      </c>
      <c r="I58" s="8"/>
      <c r="J58" s="8"/>
      <c r="K58" s="8"/>
      <c r="L58" s="8"/>
      <c r="M58" s="8"/>
      <c r="N58" s="8"/>
    </row>
    <row r="59" spans="1:14" x14ac:dyDescent="0.35">
      <c r="A59" s="33" t="s">
        <v>92</v>
      </c>
      <c r="B59" s="33" t="s">
        <v>107</v>
      </c>
      <c r="C59" s="33">
        <f>COUNTIFS('Launch Plan'!$A$5:$A$126,A59,'Launch Plan'!$B$5:$B$126,B59,'Launch Plan'!$K$5:$K$126,"Complete")+COUNTIFS('Launch Plan'!$A$5:$A$126,A59,'Launch Plan'!$B$5:$B$126,B59,'Launch Plan'!$K$5:$K$126,"In Progress")+COUNTIFS('Launch Plan'!$A$5:$A$126,A59,'Launch Plan'!$B$5:$B$126,B59,'Launch Plan'!$K$5:$K$126,"Not Started")</f>
        <v>5</v>
      </c>
      <c r="D59" s="33">
        <f>COUNTIFS('Launch Plan'!$A$5:$A$126,A59,'Launch Plan'!$B$5:$B$126,B59,'Launch Plan'!$K$5:$K$126,"Complete")</f>
        <v>0</v>
      </c>
      <c r="E59" s="33">
        <f>COUNTIFS('Launch Plan'!$A$5:$A$126,A59,'Launch Plan'!$B$5:$B$126,B59,'Launch Plan'!$K$5:$K$126,"In Progress")</f>
        <v>0</v>
      </c>
      <c r="F59" s="33">
        <f>COUNTIFS('Launch Plan'!$A$5:$A$126,A59,'Launch Plan'!$B$5:$B$126,B59,'Launch Plan'!$K$5:$K$126,"Not Started")</f>
        <v>5</v>
      </c>
      <c r="G59" s="43">
        <f t="shared" si="3"/>
        <v>0</v>
      </c>
      <c r="H59" s="33" t="str">
        <f t="shared" si="4"/>
        <v>NOT STARTED</v>
      </c>
      <c r="I59" s="8"/>
      <c r="J59" s="8"/>
      <c r="K59" s="8"/>
      <c r="L59" s="8"/>
      <c r="M59" s="8"/>
      <c r="N59" s="8"/>
    </row>
    <row r="60" spans="1:14" x14ac:dyDescent="0.35">
      <c r="A60" s="33" t="s">
        <v>92</v>
      </c>
      <c r="B60" s="33" t="s">
        <v>157</v>
      </c>
      <c r="C60" s="33">
        <f>COUNTIFS('Launch Plan'!$A$5:$A$126,A60,'Launch Plan'!$B$5:$B$126,B60,'Launch Plan'!$K$5:$K$126,"Complete")+COUNTIFS('Launch Plan'!$A$5:$A$126,A60,'Launch Plan'!$B$5:$B$126,B60,'Launch Plan'!$K$5:$K$126,"In Progress")+COUNTIFS('Launch Plan'!$A$5:$A$126,A60,'Launch Plan'!$B$5:$B$126,B60,'Launch Plan'!$K$5:$K$126,"Not Started")</f>
        <v>1</v>
      </c>
      <c r="D60" s="33">
        <f>COUNTIFS('Launch Plan'!$A$5:$A$126,A60,'Launch Plan'!$B$5:$B$126,B60,'Launch Plan'!$K$5:$K$126,"Complete")</f>
        <v>0</v>
      </c>
      <c r="E60" s="33">
        <f>COUNTIFS('Launch Plan'!$A$5:$A$126,A60,'Launch Plan'!$B$5:$B$126,B60,'Launch Plan'!$K$5:$K$126,"In Progress")</f>
        <v>1</v>
      </c>
      <c r="F60" s="33">
        <f>COUNTIFS('Launch Plan'!$A$5:$A$126,A60,'Launch Plan'!$B$5:$B$126,B60,'Launch Plan'!$K$5:$K$126,"Not Started")</f>
        <v>0</v>
      </c>
      <c r="G60" s="43">
        <f t="shared" si="3"/>
        <v>0</v>
      </c>
      <c r="H60" s="33" t="str">
        <f t="shared" si="4"/>
        <v>MOVING</v>
      </c>
      <c r="I60" s="8"/>
      <c r="J60" s="8"/>
      <c r="K60" s="8"/>
      <c r="L60" s="8"/>
      <c r="M60" s="8"/>
      <c r="N60" s="8"/>
    </row>
    <row r="61" spans="1:14" x14ac:dyDescent="0.35">
      <c r="A61" s="33" t="s">
        <v>92</v>
      </c>
      <c r="B61" s="33" t="s">
        <v>241</v>
      </c>
      <c r="C61" s="33">
        <f>COUNTIFS('Launch Plan'!$A$5:$A$126,A61,'Launch Plan'!$B$5:$B$126,B61,'Launch Plan'!$K$5:$K$126,"Complete")+COUNTIFS('Launch Plan'!$A$5:$A$126,A61,'Launch Plan'!$B$5:$B$126,B61,'Launch Plan'!$K$5:$K$126,"In Progress")+COUNTIFS('Launch Plan'!$A$5:$A$126,A61,'Launch Plan'!$B$5:$B$126,B61,'Launch Plan'!$K$5:$K$126,"Not Started")</f>
        <v>1</v>
      </c>
      <c r="D61" s="33">
        <f>COUNTIFS('Launch Plan'!$A$5:$A$126,A61,'Launch Plan'!$B$5:$B$126,B61,'Launch Plan'!$K$5:$K$126,"Complete")</f>
        <v>0</v>
      </c>
      <c r="E61" s="33">
        <f>COUNTIFS('Launch Plan'!$A$5:$A$126,A61,'Launch Plan'!$B$5:$B$126,B61,'Launch Plan'!$K$5:$K$126,"In Progress")</f>
        <v>0</v>
      </c>
      <c r="F61" s="33">
        <f>COUNTIFS('Launch Plan'!$A$5:$A$126,A61,'Launch Plan'!$B$5:$B$126,B61,'Launch Plan'!$K$5:$K$126,"Not Started")</f>
        <v>1</v>
      </c>
      <c r="G61" s="43">
        <f t="shared" si="3"/>
        <v>0</v>
      </c>
      <c r="H61" s="33" t="str">
        <f t="shared" si="4"/>
        <v>NOT STARTED</v>
      </c>
      <c r="I61" s="8"/>
      <c r="J61" s="8"/>
      <c r="K61" s="8"/>
      <c r="L61" s="8"/>
      <c r="M61" s="8"/>
      <c r="N61" s="8"/>
    </row>
    <row r="62" spans="1:14" x14ac:dyDescent="0.35">
      <c r="A62" s="33" t="s">
        <v>96</v>
      </c>
      <c r="B62" s="33" t="s">
        <v>97</v>
      </c>
      <c r="C62" s="33">
        <f>COUNTIFS('Launch Plan'!$A$5:$A$126,A62,'Launch Plan'!$B$5:$B$126,B62,'Launch Plan'!$K$5:$K$126,"Complete")+COUNTIFS('Launch Plan'!$A$5:$A$126,A62,'Launch Plan'!$B$5:$B$126,B62,'Launch Plan'!$K$5:$K$126,"In Progress")+COUNTIFS('Launch Plan'!$A$5:$A$126,A62,'Launch Plan'!$B$5:$B$126,B62,'Launch Plan'!$K$5:$K$126,"Not Started")</f>
        <v>3</v>
      </c>
      <c r="D62" s="33">
        <f>COUNTIFS('Launch Plan'!$A$5:$A$126,A62,'Launch Plan'!$B$5:$B$126,B62,'Launch Plan'!$K$5:$K$126,"Complete")</f>
        <v>1</v>
      </c>
      <c r="E62" s="33">
        <f>COUNTIFS('Launch Plan'!$A$5:$A$126,A62,'Launch Plan'!$B$5:$B$126,B62,'Launch Plan'!$K$5:$K$126,"In Progress")</f>
        <v>0</v>
      </c>
      <c r="F62" s="33">
        <f>COUNTIFS('Launch Plan'!$A$5:$A$126,A62,'Launch Plan'!$B$5:$B$126,B62,'Launch Plan'!$K$5:$K$126,"Not Started")</f>
        <v>2</v>
      </c>
      <c r="G62" s="43">
        <f t="shared" si="3"/>
        <v>0.33333333333333331</v>
      </c>
      <c r="H62" s="33" t="str">
        <f t="shared" si="4"/>
        <v>PARTIAL</v>
      </c>
      <c r="I62" s="8"/>
      <c r="J62" s="8"/>
      <c r="K62" s="8"/>
      <c r="L62" s="8"/>
      <c r="M62" s="8"/>
      <c r="N62" s="8"/>
    </row>
    <row r="63" spans="1:14" x14ac:dyDescent="0.35">
      <c r="A63" s="33" t="s">
        <v>96</v>
      </c>
      <c r="B63" s="33" t="s">
        <v>105</v>
      </c>
      <c r="C63" s="33">
        <f>COUNTIFS('Launch Plan'!$A$5:$A$126,A63,'Launch Plan'!$B$5:$B$126,B63,'Launch Plan'!$K$5:$K$126,"Complete")+COUNTIFS('Launch Plan'!$A$5:$A$126,A63,'Launch Plan'!$B$5:$B$126,B63,'Launch Plan'!$K$5:$K$126,"In Progress")+COUNTIFS('Launch Plan'!$A$5:$A$126,A63,'Launch Plan'!$B$5:$B$126,B63,'Launch Plan'!$K$5:$K$126,"Not Started")</f>
        <v>1</v>
      </c>
      <c r="D63" s="33">
        <f>COUNTIFS('Launch Plan'!$A$5:$A$126,A63,'Launch Plan'!$B$5:$B$126,B63,'Launch Plan'!$K$5:$K$126,"Complete")</f>
        <v>0</v>
      </c>
      <c r="E63" s="33">
        <f>COUNTIFS('Launch Plan'!$A$5:$A$126,A63,'Launch Plan'!$B$5:$B$126,B63,'Launch Plan'!$K$5:$K$126,"In Progress")</f>
        <v>0</v>
      </c>
      <c r="F63" s="33">
        <f>COUNTIFS('Launch Plan'!$A$5:$A$126,A63,'Launch Plan'!$B$5:$B$126,B63,'Launch Plan'!$K$5:$K$126,"Not Started")</f>
        <v>1</v>
      </c>
      <c r="G63" s="43">
        <f t="shared" si="3"/>
        <v>0</v>
      </c>
      <c r="H63" s="33" t="str">
        <f t="shared" si="4"/>
        <v>NOT STARTED</v>
      </c>
      <c r="I63" s="8"/>
      <c r="J63" s="8"/>
      <c r="K63" s="8"/>
      <c r="L63" s="8"/>
      <c r="M63" s="8"/>
      <c r="N63" s="8"/>
    </row>
    <row r="64" spans="1:14" x14ac:dyDescent="0.35">
      <c r="A64" s="33" t="s">
        <v>96</v>
      </c>
      <c r="B64" s="33" t="s">
        <v>203</v>
      </c>
      <c r="C64" s="33">
        <f>COUNTIFS('Launch Plan'!$A$5:$A$126,A64,'Launch Plan'!$B$5:$B$126,B64,'Launch Plan'!$K$5:$K$126,"Complete")+COUNTIFS('Launch Plan'!$A$5:$A$126,A64,'Launch Plan'!$B$5:$B$126,B64,'Launch Plan'!$K$5:$K$126,"In Progress")+COUNTIFS('Launch Plan'!$A$5:$A$126,A64,'Launch Plan'!$B$5:$B$126,B64,'Launch Plan'!$K$5:$K$126,"Not Started")</f>
        <v>3</v>
      </c>
      <c r="D64" s="33">
        <f>COUNTIFS('Launch Plan'!$A$5:$A$126,A64,'Launch Plan'!$B$5:$B$126,B64,'Launch Plan'!$K$5:$K$126,"Complete")</f>
        <v>0</v>
      </c>
      <c r="E64" s="33">
        <f>COUNTIFS('Launch Plan'!$A$5:$A$126,A64,'Launch Plan'!$B$5:$B$126,B64,'Launch Plan'!$K$5:$K$126,"In Progress")</f>
        <v>0</v>
      </c>
      <c r="F64" s="33">
        <f>COUNTIFS('Launch Plan'!$A$5:$A$126,A64,'Launch Plan'!$B$5:$B$126,B64,'Launch Plan'!$K$5:$K$126,"Not Started")</f>
        <v>3</v>
      </c>
      <c r="G64" s="43">
        <f t="shared" si="3"/>
        <v>0</v>
      </c>
      <c r="H64" s="33" t="str">
        <f t="shared" si="4"/>
        <v>NOT STARTED</v>
      </c>
      <c r="I64" s="8"/>
      <c r="J64" s="8"/>
      <c r="K64" s="8"/>
      <c r="L64" s="8"/>
      <c r="M64" s="8"/>
      <c r="N64" s="8"/>
    </row>
    <row r="65" spans="1:14" x14ac:dyDescent="0.35">
      <c r="A65" s="33" t="s">
        <v>96</v>
      </c>
      <c r="B65" s="33" t="s">
        <v>210</v>
      </c>
      <c r="C65" s="33">
        <f>COUNTIFS('Launch Plan'!$A$5:$A$126,A65,'Launch Plan'!$B$5:$B$126,B65,'Launch Plan'!$K$5:$K$126,"Complete")+COUNTIFS('Launch Plan'!$A$5:$A$126,A65,'Launch Plan'!$B$5:$B$126,B65,'Launch Plan'!$K$5:$K$126,"In Progress")+COUNTIFS('Launch Plan'!$A$5:$A$126,A65,'Launch Plan'!$B$5:$B$126,B65,'Launch Plan'!$K$5:$K$126,"Not Started")</f>
        <v>1</v>
      </c>
      <c r="D65" s="33">
        <f>COUNTIFS('Launch Plan'!$A$5:$A$126,A65,'Launch Plan'!$B$5:$B$126,B65,'Launch Plan'!$K$5:$K$126,"Complete")</f>
        <v>0</v>
      </c>
      <c r="E65" s="33">
        <f>COUNTIFS('Launch Plan'!$A$5:$A$126,A65,'Launch Plan'!$B$5:$B$126,B65,'Launch Plan'!$K$5:$K$126,"In Progress")</f>
        <v>0</v>
      </c>
      <c r="F65" s="33">
        <f>COUNTIFS('Launch Plan'!$A$5:$A$126,A65,'Launch Plan'!$B$5:$B$126,B65,'Launch Plan'!$K$5:$K$126,"Not Started")</f>
        <v>1</v>
      </c>
      <c r="G65" s="43">
        <f t="shared" si="3"/>
        <v>0</v>
      </c>
      <c r="H65" s="33" t="str">
        <f t="shared" si="4"/>
        <v>NOT STARTED</v>
      </c>
      <c r="I65" s="8"/>
      <c r="J65" s="8"/>
      <c r="K65" s="8"/>
      <c r="L65" s="8"/>
      <c r="M65" s="8"/>
      <c r="N65" s="8"/>
    </row>
    <row r="66" spans="1:14" x14ac:dyDescent="0.35">
      <c r="A66" s="33" t="s">
        <v>96</v>
      </c>
      <c r="B66" s="33" t="s">
        <v>213</v>
      </c>
      <c r="C66" s="33">
        <f>COUNTIFS('Launch Plan'!$A$5:$A$126,A66,'Launch Plan'!$B$5:$B$126,B66,'Launch Plan'!$K$5:$K$126,"Complete")+COUNTIFS('Launch Plan'!$A$5:$A$126,A66,'Launch Plan'!$B$5:$B$126,B66,'Launch Plan'!$K$5:$K$126,"In Progress")+COUNTIFS('Launch Plan'!$A$5:$A$126,A66,'Launch Plan'!$B$5:$B$126,B66,'Launch Plan'!$K$5:$K$126,"Not Started")</f>
        <v>1</v>
      </c>
      <c r="D66" s="33">
        <f>COUNTIFS('Launch Plan'!$A$5:$A$126,A66,'Launch Plan'!$B$5:$B$126,B66,'Launch Plan'!$K$5:$K$126,"Complete")</f>
        <v>0</v>
      </c>
      <c r="E66" s="33">
        <f>COUNTIFS('Launch Plan'!$A$5:$A$126,A66,'Launch Plan'!$B$5:$B$126,B66,'Launch Plan'!$K$5:$K$126,"In Progress")</f>
        <v>0</v>
      </c>
      <c r="F66" s="33">
        <f>COUNTIFS('Launch Plan'!$A$5:$A$126,A66,'Launch Plan'!$B$5:$B$126,B66,'Launch Plan'!$K$5:$K$126,"Not Started")</f>
        <v>1</v>
      </c>
      <c r="G66" s="43">
        <f t="shared" si="3"/>
        <v>0</v>
      </c>
      <c r="H66" s="33" t="str">
        <f t="shared" si="4"/>
        <v>NOT STARTED</v>
      </c>
      <c r="I66" s="8"/>
      <c r="J66" s="8"/>
      <c r="K66" s="8"/>
      <c r="L66" s="8"/>
      <c r="M66" s="8"/>
      <c r="N66" s="8"/>
    </row>
    <row r="67" spans="1:14" x14ac:dyDescent="0.35">
      <c r="A67" s="33" t="s">
        <v>109</v>
      </c>
      <c r="B67" s="33" t="s">
        <v>110</v>
      </c>
      <c r="C67" s="33">
        <f>COUNTIFS('Launch Plan'!$A$5:$A$126,A67,'Launch Plan'!$B$5:$B$126,B67,'Launch Plan'!$K$5:$K$126,"Complete")+COUNTIFS('Launch Plan'!$A$5:$A$126,A67,'Launch Plan'!$B$5:$B$126,B67,'Launch Plan'!$K$5:$K$126,"In Progress")+COUNTIFS('Launch Plan'!$A$5:$A$126,A67,'Launch Plan'!$B$5:$B$126,B67,'Launch Plan'!$K$5:$K$126,"Not Started")</f>
        <v>14</v>
      </c>
      <c r="D67" s="33">
        <f>COUNTIFS('Launch Plan'!$A$5:$A$126,A67,'Launch Plan'!$B$5:$B$126,B67,'Launch Plan'!$K$5:$K$126,"Complete")</f>
        <v>2</v>
      </c>
      <c r="E67" s="33">
        <f>COUNTIFS('Launch Plan'!$A$5:$A$126,A67,'Launch Plan'!$B$5:$B$126,B67,'Launch Plan'!$K$5:$K$126,"In Progress")</f>
        <v>0</v>
      </c>
      <c r="F67" s="33">
        <f>COUNTIFS('Launch Plan'!$A$5:$A$126,A67,'Launch Plan'!$B$5:$B$126,B67,'Launch Plan'!$K$5:$K$126,"Not Started")</f>
        <v>12</v>
      </c>
      <c r="G67" s="43">
        <f t="shared" si="3"/>
        <v>0.14285714285714285</v>
      </c>
      <c r="H67" s="33" t="str">
        <f t="shared" si="4"/>
        <v>PARTIAL</v>
      </c>
      <c r="I67" s="8"/>
      <c r="J67" s="8"/>
      <c r="K67" s="8"/>
      <c r="L67" s="8"/>
      <c r="M67" s="8"/>
      <c r="N67" s="8"/>
    </row>
    <row r="68" spans="1:14" x14ac:dyDescent="0.35">
      <c r="A68" s="33" t="s">
        <v>142</v>
      </c>
      <c r="B68" s="33" t="s">
        <v>143</v>
      </c>
      <c r="C68" s="33">
        <f>COUNTIFS('Launch Plan'!$A$5:$A$126,A68,'Launch Plan'!$B$5:$B$126,B68,'Launch Plan'!$K$5:$K$126,"Complete")+COUNTIFS('Launch Plan'!$A$5:$A$126,A68,'Launch Plan'!$B$5:$B$126,B68,'Launch Plan'!$K$5:$K$126,"In Progress")+COUNTIFS('Launch Plan'!$A$5:$A$126,A68,'Launch Plan'!$B$5:$B$126,B68,'Launch Plan'!$K$5:$K$126,"Not Started")</f>
        <v>11</v>
      </c>
      <c r="D68" s="33">
        <f>COUNTIFS('Launch Plan'!$A$5:$A$126,A68,'Launch Plan'!$B$5:$B$126,B68,'Launch Plan'!$K$5:$K$126,"Complete")</f>
        <v>0</v>
      </c>
      <c r="E68" s="33">
        <f>COUNTIFS('Launch Plan'!$A$5:$A$126,A68,'Launch Plan'!$B$5:$B$126,B68,'Launch Plan'!$K$5:$K$126,"In Progress")</f>
        <v>0</v>
      </c>
      <c r="F68" s="33">
        <f>COUNTIFS('Launch Plan'!$A$5:$A$126,A68,'Launch Plan'!$B$5:$B$126,B68,'Launch Plan'!$K$5:$K$126,"Not Started")</f>
        <v>11</v>
      </c>
      <c r="G68" s="43">
        <f t="shared" si="3"/>
        <v>0</v>
      </c>
      <c r="H68" s="33" t="str">
        <f t="shared" si="4"/>
        <v>NOT STARTED</v>
      </c>
      <c r="I68" s="8"/>
      <c r="J68" s="8"/>
      <c r="K68" s="8"/>
      <c r="L68" s="8"/>
      <c r="M68" s="8"/>
      <c r="N68" s="8"/>
    </row>
    <row r="69" spans="1:14" x14ac:dyDescent="0.35">
      <c r="A69" s="33" t="s">
        <v>142</v>
      </c>
      <c r="B69" s="33" t="s">
        <v>167</v>
      </c>
      <c r="C69" s="33">
        <f>COUNTIFS('Launch Plan'!$A$5:$A$126,A69,'Launch Plan'!$B$5:$B$126,B69,'Launch Plan'!$K$5:$K$126,"Complete")+COUNTIFS('Launch Plan'!$A$5:$A$126,A69,'Launch Plan'!$B$5:$B$126,B69,'Launch Plan'!$K$5:$K$126,"In Progress")+COUNTIFS('Launch Plan'!$A$5:$A$126,A69,'Launch Plan'!$B$5:$B$126,B69,'Launch Plan'!$K$5:$K$126,"Not Started")</f>
        <v>1</v>
      </c>
      <c r="D69" s="33">
        <f>COUNTIFS('Launch Plan'!$A$5:$A$126,A69,'Launch Plan'!$B$5:$B$126,B69,'Launch Plan'!$K$5:$K$126,"Complete")</f>
        <v>0</v>
      </c>
      <c r="E69" s="33">
        <f>COUNTIFS('Launch Plan'!$A$5:$A$126,A69,'Launch Plan'!$B$5:$B$126,B69,'Launch Plan'!$K$5:$K$126,"In Progress")</f>
        <v>0</v>
      </c>
      <c r="F69" s="33">
        <f>COUNTIFS('Launch Plan'!$A$5:$A$126,A69,'Launch Plan'!$B$5:$B$126,B69,'Launch Plan'!$K$5:$K$126,"Not Started")</f>
        <v>1</v>
      </c>
      <c r="G69" s="43">
        <f t="shared" si="3"/>
        <v>0</v>
      </c>
      <c r="H69" s="33" t="str">
        <f t="shared" si="4"/>
        <v>NOT STARTED</v>
      </c>
      <c r="I69" s="8"/>
      <c r="J69" s="8"/>
      <c r="K69" s="8"/>
      <c r="L69" s="8"/>
      <c r="M69" s="8"/>
      <c r="N69" s="8"/>
    </row>
    <row r="70" spans="1:14" x14ac:dyDescent="0.35">
      <c r="A70" s="33" t="s">
        <v>185</v>
      </c>
      <c r="B70" s="33" t="s">
        <v>186</v>
      </c>
      <c r="C70" s="33">
        <f>COUNTIFS('Launch Plan'!$A$5:$A$126,A70,'Launch Plan'!$B$5:$B$126,B70,'Launch Plan'!$K$5:$K$126,"Complete")+COUNTIFS('Launch Plan'!$A$5:$A$126,A70,'Launch Plan'!$B$5:$B$126,B70,'Launch Plan'!$K$5:$K$126,"In Progress")+COUNTIFS('Launch Plan'!$A$5:$A$126,A70,'Launch Plan'!$B$5:$B$126,B70,'Launch Plan'!$K$5:$K$126,"Not Started")</f>
        <v>10</v>
      </c>
      <c r="D70" s="33">
        <f>COUNTIFS('Launch Plan'!$A$5:$A$126,A70,'Launch Plan'!$B$5:$B$126,B70,'Launch Plan'!$K$5:$K$126,"Complete")</f>
        <v>0</v>
      </c>
      <c r="E70" s="33">
        <f>COUNTIFS('Launch Plan'!$A$5:$A$126,A70,'Launch Plan'!$B$5:$B$126,B70,'Launch Plan'!$K$5:$K$126,"In Progress")</f>
        <v>0</v>
      </c>
      <c r="F70" s="33">
        <f>COUNTIFS('Launch Plan'!$A$5:$A$126,A70,'Launch Plan'!$B$5:$B$126,B70,'Launch Plan'!$K$5:$K$126,"Not Started")</f>
        <v>10</v>
      </c>
      <c r="G70" s="43">
        <f t="shared" si="3"/>
        <v>0</v>
      </c>
      <c r="H70" s="33" t="str">
        <f t="shared" si="4"/>
        <v>NOT STARTED</v>
      </c>
      <c r="I70" s="8"/>
      <c r="J70" s="8"/>
      <c r="K70" s="8"/>
      <c r="L70" s="8"/>
      <c r="M70" s="8"/>
      <c r="N70" s="8"/>
    </row>
    <row r="71" spans="1:14" x14ac:dyDescent="0.35">
      <c r="A71" s="33" t="s">
        <v>216</v>
      </c>
      <c r="B71" s="33" t="s">
        <v>217</v>
      </c>
      <c r="C71" s="33">
        <f>COUNTIFS('Launch Plan'!$A$5:$A$126,A71,'Launch Plan'!$B$5:$B$126,B71,'Launch Plan'!$K$5:$K$126,"Complete")+COUNTIFS('Launch Plan'!$A$5:$A$126,A71,'Launch Plan'!$B$5:$B$126,B71,'Launch Plan'!$K$5:$K$126,"In Progress")+COUNTIFS('Launch Plan'!$A$5:$A$126,A71,'Launch Plan'!$B$5:$B$126,B71,'Launch Plan'!$K$5:$K$126,"Not Started")</f>
        <v>3</v>
      </c>
      <c r="D71" s="33">
        <f>COUNTIFS('Launch Plan'!$A$5:$A$126,A71,'Launch Plan'!$B$5:$B$126,B71,'Launch Plan'!$K$5:$K$126,"Complete")</f>
        <v>0</v>
      </c>
      <c r="E71" s="33">
        <f>COUNTIFS('Launch Plan'!$A$5:$A$126,A71,'Launch Plan'!$B$5:$B$126,B71,'Launch Plan'!$K$5:$K$126,"In Progress")</f>
        <v>0</v>
      </c>
      <c r="F71" s="33">
        <f>COUNTIFS('Launch Plan'!$A$5:$A$126,A71,'Launch Plan'!$B$5:$B$126,B71,'Launch Plan'!$K$5:$K$126,"Not Started")</f>
        <v>3</v>
      </c>
      <c r="G71" s="43">
        <f t="shared" si="3"/>
        <v>0</v>
      </c>
      <c r="H71" s="33" t="str">
        <f t="shared" si="4"/>
        <v>NOT STARTED</v>
      </c>
      <c r="I71" s="8"/>
      <c r="J71" s="8"/>
      <c r="K71" s="8"/>
      <c r="L71" s="8"/>
      <c r="M71" s="8"/>
      <c r="N71" s="8"/>
    </row>
    <row r="72" spans="1:14" x14ac:dyDescent="0.35">
      <c r="A72" s="33" t="s">
        <v>216</v>
      </c>
      <c r="B72" s="33" t="s">
        <v>56</v>
      </c>
      <c r="C72" s="33">
        <f>COUNTIFS('Launch Plan'!$A$5:$A$126,A72,'Launch Plan'!$B$5:$B$126,B72,'Launch Plan'!$K$5:$K$126,"Complete")+COUNTIFS('Launch Plan'!$A$5:$A$126,A72,'Launch Plan'!$B$5:$B$126,B72,'Launch Plan'!$K$5:$K$126,"In Progress")+COUNTIFS('Launch Plan'!$A$5:$A$126,A72,'Launch Plan'!$B$5:$B$126,B72,'Launch Plan'!$K$5:$K$126,"Not Started")</f>
        <v>3</v>
      </c>
      <c r="D72" s="33">
        <f>COUNTIFS('Launch Plan'!$A$5:$A$126,A72,'Launch Plan'!$B$5:$B$126,B72,'Launch Plan'!$K$5:$K$126,"Complete")</f>
        <v>0</v>
      </c>
      <c r="E72" s="33">
        <f>COUNTIFS('Launch Plan'!$A$5:$A$126,A72,'Launch Plan'!$B$5:$B$126,B72,'Launch Plan'!$K$5:$K$126,"In Progress")</f>
        <v>0</v>
      </c>
      <c r="F72" s="33">
        <f>COUNTIFS('Launch Plan'!$A$5:$A$126,A72,'Launch Plan'!$B$5:$B$126,B72,'Launch Plan'!$K$5:$K$126,"Not Started")</f>
        <v>3</v>
      </c>
      <c r="G72" s="43">
        <f t="shared" si="3"/>
        <v>0</v>
      </c>
      <c r="H72" s="33" t="str">
        <f t="shared" si="4"/>
        <v>NOT STARTED</v>
      </c>
      <c r="I72" s="8"/>
      <c r="J72" s="8"/>
      <c r="K72" s="8"/>
      <c r="L72" s="8"/>
      <c r="M72" s="8"/>
      <c r="N72" s="8"/>
    </row>
    <row r="73" spans="1:14" x14ac:dyDescent="0.35">
      <c r="A73" s="33" t="s">
        <v>216</v>
      </c>
      <c r="B73" s="33" t="s">
        <v>230</v>
      </c>
      <c r="C73" s="33">
        <f>COUNTIFS('Launch Plan'!$A$5:$A$126,A73,'Launch Plan'!$B$5:$B$126,B73,'Launch Plan'!$K$5:$K$126,"Complete")+COUNTIFS('Launch Plan'!$A$5:$A$126,A73,'Launch Plan'!$B$5:$B$126,B73,'Launch Plan'!$K$5:$K$126,"In Progress")+COUNTIFS('Launch Plan'!$A$5:$A$126,A73,'Launch Plan'!$B$5:$B$126,B73,'Launch Plan'!$K$5:$K$126,"Not Started")</f>
        <v>8</v>
      </c>
      <c r="D73" s="33">
        <f>COUNTIFS('Launch Plan'!$A$5:$A$126,A73,'Launch Plan'!$B$5:$B$126,B73,'Launch Plan'!$K$5:$K$126,"Complete")</f>
        <v>0</v>
      </c>
      <c r="E73" s="33">
        <f>COUNTIFS('Launch Plan'!$A$5:$A$126,A73,'Launch Plan'!$B$5:$B$126,B73,'Launch Plan'!$K$5:$K$126,"In Progress")</f>
        <v>0</v>
      </c>
      <c r="F73" s="33">
        <f>COUNTIFS('Launch Plan'!$A$5:$A$126,A73,'Launch Plan'!$B$5:$B$126,B73,'Launch Plan'!$K$5:$K$126,"Not Started")</f>
        <v>8</v>
      </c>
      <c r="G73" s="43">
        <f t="shared" si="3"/>
        <v>0</v>
      </c>
      <c r="H73" s="33" t="str">
        <f t="shared" si="4"/>
        <v>NOT STARTED</v>
      </c>
      <c r="I73" s="8"/>
      <c r="J73" s="8"/>
      <c r="K73" s="8"/>
      <c r="L73" s="8"/>
      <c r="M73" s="8"/>
      <c r="N73" s="8"/>
    </row>
    <row r="74" spans="1:14" x14ac:dyDescent="0.35">
      <c r="A74" s="33" t="s">
        <v>216</v>
      </c>
      <c r="B74" s="33" t="s">
        <v>171</v>
      </c>
      <c r="C74" s="33">
        <f>COUNTIFS('Launch Plan'!$A$5:$A$126,A74,'Launch Plan'!$B$5:$B$126,B74,'Launch Plan'!$K$5:$K$126,"Complete")+COUNTIFS('Launch Plan'!$A$5:$A$126,A74,'Launch Plan'!$B$5:$B$126,B74,'Launch Plan'!$K$5:$K$126,"In Progress")+COUNTIFS('Launch Plan'!$A$5:$A$126,A74,'Launch Plan'!$B$5:$B$126,B74,'Launch Plan'!$K$5:$K$126,"Not Started")</f>
        <v>5</v>
      </c>
      <c r="D74" s="33">
        <f>COUNTIFS('Launch Plan'!$A$5:$A$126,A74,'Launch Plan'!$B$5:$B$126,B74,'Launch Plan'!$K$5:$K$126,"Complete")</f>
        <v>0</v>
      </c>
      <c r="E74" s="33">
        <f>COUNTIFS('Launch Plan'!$A$5:$A$126,A74,'Launch Plan'!$B$5:$B$126,B74,'Launch Plan'!$K$5:$K$126,"In Progress")</f>
        <v>0</v>
      </c>
      <c r="F74" s="33">
        <f>COUNTIFS('Launch Plan'!$A$5:$A$126,A74,'Launch Plan'!$B$5:$B$126,B74,'Launch Plan'!$K$5:$K$126,"Not Started")</f>
        <v>5</v>
      </c>
      <c r="G74" s="43">
        <f t="shared" si="3"/>
        <v>0</v>
      </c>
      <c r="H74" s="33" t="str">
        <f t="shared" si="4"/>
        <v>NOT STARTED</v>
      </c>
      <c r="I74" s="8"/>
      <c r="J74" s="8"/>
      <c r="K74" s="8"/>
      <c r="L74" s="8"/>
      <c r="M74" s="8"/>
      <c r="N74" s="8"/>
    </row>
    <row r="75" spans="1:14" x14ac:dyDescent="0.35">
      <c r="A75" s="34" t="s">
        <v>255</v>
      </c>
      <c r="B75" s="34" t="s">
        <v>256</v>
      </c>
      <c r="C75" s="34">
        <f>COUNTIFS('Launch Plan'!$A$5:$A$126,A75,'Launch Plan'!$B$5:$B$126,B75,'Launch Plan'!$K$5:$K$126,"Complete")+COUNTIFS('Launch Plan'!$A$5:$A$126,A75,'Launch Plan'!$B$5:$B$126,B75,'Launch Plan'!$K$5:$K$126,"In Progress")+COUNTIFS('Launch Plan'!$A$5:$A$126,A75,'Launch Plan'!$B$5:$B$126,B75,'Launch Plan'!$K$5:$K$126,"Not Started")</f>
        <v>1</v>
      </c>
      <c r="D75" s="34">
        <f>COUNTIFS('Launch Plan'!$A$5:$A$126,A75,'Launch Plan'!$B$5:$B$126,B75,'Launch Plan'!$K$5:$K$126,"Complete")</f>
        <v>0</v>
      </c>
      <c r="E75" s="34">
        <f>COUNTIFS('Launch Plan'!$A$5:$A$126,A75,'Launch Plan'!$B$5:$B$126,B75,'Launch Plan'!$K$5:$K$126,"In Progress")</f>
        <v>0</v>
      </c>
      <c r="F75" s="34">
        <f>COUNTIFS('Launch Plan'!$A$5:$A$126,A75,'Launch Plan'!$B$5:$B$126,B75,'Launch Plan'!$K$5:$K$126,"Not Started")</f>
        <v>1</v>
      </c>
      <c r="G75" s="44">
        <f t="shared" si="3"/>
        <v>0</v>
      </c>
      <c r="H75" s="34" t="str">
        <f t="shared" si="4"/>
        <v>NOT STARTED</v>
      </c>
      <c r="I75" s="8"/>
      <c r="J75" s="8"/>
      <c r="K75" s="8"/>
      <c r="L75" s="8"/>
      <c r="M75" s="8"/>
      <c r="N75" s="8"/>
    </row>
    <row r="76" spans="1:14" x14ac:dyDescent="0.35">
      <c r="A76" s="8"/>
      <c r="B76" s="8"/>
      <c r="C76" s="8"/>
      <c r="D76" s="8"/>
      <c r="E76" s="8"/>
      <c r="F76" s="8"/>
      <c r="G76" s="8"/>
      <c r="H76" s="8"/>
      <c r="I76" s="8"/>
      <c r="J76" s="8"/>
      <c r="K76" s="8"/>
      <c r="L76" s="8"/>
      <c r="M76" s="8"/>
      <c r="N76" s="8"/>
    </row>
    <row r="77" spans="1:14" x14ac:dyDescent="0.35">
      <c r="A77" s="8"/>
      <c r="B77" s="8"/>
      <c r="C77" s="8"/>
      <c r="D77" s="8"/>
      <c r="E77" s="8"/>
      <c r="F77" s="8"/>
      <c r="G77" s="8"/>
      <c r="H77" s="8"/>
      <c r="I77" s="8"/>
      <c r="J77" s="8"/>
      <c r="K77" s="8"/>
      <c r="L77" s="8"/>
      <c r="M77" s="8"/>
      <c r="N77" s="8"/>
    </row>
    <row r="78" spans="1:14" x14ac:dyDescent="0.35">
      <c r="A78" s="8"/>
      <c r="B78" s="8"/>
      <c r="C78" s="8"/>
      <c r="D78" s="8"/>
      <c r="E78" s="8"/>
      <c r="F78" s="8"/>
      <c r="G78" s="8"/>
      <c r="H78" s="8"/>
      <c r="I78" s="8"/>
      <c r="J78" s="8"/>
      <c r="K78" s="8"/>
      <c r="L78" s="8"/>
      <c r="M78" s="8"/>
      <c r="N78" s="8"/>
    </row>
    <row r="79" spans="1:14" x14ac:dyDescent="0.35">
      <c r="A79" s="8"/>
      <c r="B79" s="8"/>
      <c r="C79" s="8"/>
      <c r="D79" s="8"/>
      <c r="E79" s="8"/>
      <c r="F79" s="8"/>
      <c r="G79" s="8"/>
      <c r="H79" s="8"/>
      <c r="I79" s="8"/>
      <c r="J79" s="8"/>
      <c r="K79" s="8"/>
      <c r="L79" s="8"/>
      <c r="M79" s="8"/>
      <c r="N79" s="8"/>
    </row>
    <row r="80" spans="1:14" x14ac:dyDescent="0.35">
      <c r="A80" s="8"/>
      <c r="B80" s="8"/>
      <c r="C80" s="8"/>
      <c r="D80" s="8"/>
      <c r="E80" s="8"/>
      <c r="F80" s="8"/>
      <c r="G80" s="8"/>
      <c r="H80" s="8"/>
      <c r="I80" s="8"/>
      <c r="J80" s="8"/>
      <c r="K80" s="8"/>
      <c r="L80" s="8"/>
      <c r="M80" s="8"/>
      <c r="N80" s="8"/>
    </row>
    <row r="81" spans="1:14" x14ac:dyDescent="0.35">
      <c r="A81" s="8"/>
      <c r="B81" s="8"/>
      <c r="C81" s="8"/>
      <c r="D81" s="8"/>
      <c r="E81" s="8"/>
      <c r="F81" s="8"/>
      <c r="G81" s="8"/>
      <c r="H81" s="8"/>
      <c r="I81" s="8"/>
      <c r="J81" s="8"/>
      <c r="K81" s="8"/>
      <c r="L81" s="8"/>
      <c r="M81" s="8"/>
      <c r="N81" s="8"/>
    </row>
    <row r="82" spans="1:14" x14ac:dyDescent="0.35">
      <c r="A82" s="8"/>
      <c r="B82" s="8"/>
      <c r="C82" s="8"/>
      <c r="D82" s="8"/>
      <c r="E82" s="8"/>
      <c r="F82" s="8"/>
      <c r="G82" s="8"/>
      <c r="H82" s="8"/>
      <c r="I82" s="8"/>
      <c r="J82" s="8"/>
      <c r="K82" s="8"/>
      <c r="L82" s="8"/>
      <c r="M82" s="8"/>
      <c r="N82" s="8"/>
    </row>
    <row r="83" spans="1:14" x14ac:dyDescent="0.35">
      <c r="A83" s="8"/>
      <c r="B83" s="8"/>
      <c r="C83" s="8"/>
      <c r="D83" s="8"/>
      <c r="E83" s="8"/>
      <c r="F83" s="8"/>
      <c r="G83" s="8"/>
      <c r="H83" s="8"/>
      <c r="I83" s="8"/>
      <c r="J83" s="8"/>
      <c r="K83" s="8"/>
      <c r="L83" s="8"/>
      <c r="M83" s="8"/>
      <c r="N83" s="8"/>
    </row>
    <row r="84" spans="1:14" x14ac:dyDescent="0.35">
      <c r="A84" s="8"/>
      <c r="B84" s="8"/>
      <c r="C84" s="8"/>
      <c r="D84" s="8"/>
      <c r="E84" s="8"/>
      <c r="F84" s="8"/>
      <c r="G84" s="8"/>
      <c r="H84" s="8"/>
      <c r="I84" s="8"/>
      <c r="J84" s="8"/>
      <c r="K84" s="8"/>
      <c r="L84" s="8"/>
      <c r="M84" s="8"/>
      <c r="N84" s="8"/>
    </row>
    <row r="85" spans="1:14" x14ac:dyDescent="0.35">
      <c r="A85" s="8"/>
      <c r="B85" s="8"/>
      <c r="C85" s="8"/>
      <c r="D85" s="8"/>
      <c r="E85" s="8"/>
      <c r="F85" s="8"/>
      <c r="G85" s="8"/>
      <c r="H85" s="8"/>
      <c r="I85" s="8"/>
      <c r="J85" s="8"/>
      <c r="K85" s="8"/>
      <c r="L85" s="8"/>
      <c r="M85" s="8"/>
      <c r="N85" s="8"/>
    </row>
    <row r="86" spans="1:14" x14ac:dyDescent="0.35">
      <c r="A86" s="8"/>
      <c r="B86" s="8"/>
      <c r="C86" s="8"/>
      <c r="D86" s="8"/>
      <c r="E86" s="8"/>
      <c r="F86" s="8"/>
      <c r="G86" s="8"/>
      <c r="H86" s="8"/>
      <c r="I86" s="8"/>
      <c r="J86" s="8"/>
      <c r="K86" s="8"/>
      <c r="L86" s="8"/>
      <c r="M86" s="8"/>
      <c r="N86" s="8"/>
    </row>
    <row r="87" spans="1:14" x14ac:dyDescent="0.35">
      <c r="A87" s="8"/>
      <c r="B87" s="8"/>
      <c r="C87" s="8"/>
      <c r="D87" s="8"/>
      <c r="E87" s="8"/>
      <c r="F87" s="8"/>
      <c r="G87" s="8"/>
      <c r="H87" s="8"/>
      <c r="I87" s="8"/>
      <c r="J87" s="8"/>
      <c r="K87" s="8"/>
      <c r="L87" s="8"/>
      <c r="M87" s="8"/>
      <c r="N87" s="8"/>
    </row>
    <row r="88" spans="1:14" x14ac:dyDescent="0.35">
      <c r="A88" s="8"/>
      <c r="B88" s="8"/>
      <c r="C88" s="8"/>
      <c r="D88" s="8"/>
      <c r="E88" s="8"/>
      <c r="F88" s="8"/>
      <c r="G88" s="8"/>
      <c r="H88" s="8"/>
      <c r="I88" s="8"/>
      <c r="J88" s="8"/>
      <c r="K88" s="8"/>
      <c r="L88" s="8"/>
      <c r="M88" s="8"/>
      <c r="N88" s="8"/>
    </row>
    <row r="89" spans="1:14" x14ac:dyDescent="0.35">
      <c r="A89" s="8"/>
      <c r="B89" s="8"/>
      <c r="C89" s="8"/>
      <c r="D89" s="8"/>
      <c r="E89" s="8"/>
      <c r="F89" s="8"/>
      <c r="G89" s="8"/>
      <c r="H89" s="8"/>
      <c r="I89" s="8"/>
      <c r="J89" s="8"/>
      <c r="K89" s="8"/>
      <c r="L89" s="8"/>
      <c r="M89" s="8"/>
      <c r="N89" s="8"/>
    </row>
    <row r="90" spans="1:14" x14ac:dyDescent="0.35">
      <c r="A90" s="8"/>
      <c r="B90" s="8"/>
      <c r="C90" s="8"/>
      <c r="D90" s="8"/>
      <c r="E90" s="8"/>
      <c r="F90" s="8"/>
      <c r="G90" s="8"/>
      <c r="H90" s="8"/>
      <c r="I90" s="8"/>
      <c r="J90" s="8"/>
      <c r="K90" s="8"/>
      <c r="L90" s="8"/>
      <c r="M90" s="8"/>
      <c r="N90" s="8"/>
    </row>
  </sheetData>
  <mergeCells count="33">
    <mergeCell ref="A47:N47"/>
    <mergeCell ref="B42:K42"/>
    <mergeCell ref="A1:N2"/>
    <mergeCell ref="J5:L5"/>
    <mergeCell ref="D6:F8"/>
    <mergeCell ref="B44:K44"/>
    <mergeCell ref="B29:K29"/>
    <mergeCell ref="B38:K38"/>
    <mergeCell ref="B34:K34"/>
    <mergeCell ref="B37:K37"/>
    <mergeCell ref="A3:N3"/>
    <mergeCell ref="D5:F5"/>
    <mergeCell ref="A26:N26"/>
    <mergeCell ref="B43:K43"/>
    <mergeCell ref="B39:K39"/>
    <mergeCell ref="B41:K41"/>
    <mergeCell ref="G6:I8"/>
    <mergeCell ref="B32:K32"/>
    <mergeCell ref="A5:C5"/>
    <mergeCell ref="G5:I5"/>
    <mergeCell ref="B35:K35"/>
    <mergeCell ref="H10:N10"/>
    <mergeCell ref="M6:N8"/>
    <mergeCell ref="B31:K31"/>
    <mergeCell ref="A27:N27"/>
    <mergeCell ref="A10:F10"/>
    <mergeCell ref="A6:C8"/>
    <mergeCell ref="J6:L8"/>
    <mergeCell ref="B40:K40"/>
    <mergeCell ref="B30:K30"/>
    <mergeCell ref="M5:N5"/>
    <mergeCell ref="B33:K33"/>
    <mergeCell ref="B36:K36"/>
  </mergeCells>
  <conditionalFormatting sqref="G50:G75">
    <cfRule type="dataBar" priority="12">
      <dataBar>
        <cfvo type="min"/>
        <cfvo type="max"/>
        <color rgb="FF4CC7B0"/>
      </dataBar>
    </cfRule>
    <cfRule type="dataBar" priority="18">
      <dataBar>
        <cfvo type="min"/>
        <cfvo type="max"/>
        <color rgb="FF4CC7B0"/>
      </dataBar>
    </cfRule>
  </conditionalFormatting>
  <conditionalFormatting sqref="H50:H75">
    <cfRule type="containsText" dxfId="37" priority="13" operator="containsText" text="READY"/>
    <cfRule type="containsText" dxfId="36" priority="14" operator="containsText" text="MOVING"/>
    <cfRule type="containsText" dxfId="35" priority="15" operator="containsText" text="PARTIAL"/>
    <cfRule type="containsText" dxfId="34" priority="16" operator="containsText" text="NOT STARTED"/>
  </conditionalFormatting>
  <conditionalFormatting sqref="L30:L44">
    <cfRule type="containsText" dxfId="33" priority="6" operator="containsText" text="Complete"/>
    <cfRule type="containsText" dxfId="32" priority="7" operator="containsText" text="In Progress"/>
    <cfRule type="containsText" dxfId="31" priority="8" operator="containsText" text="Not Started"/>
  </conditionalFormatting>
  <conditionalFormatting sqref="M13:M22">
    <cfRule type="dataBar" priority="1">
      <dataBar>
        <cfvo type="min"/>
        <cfvo type="max"/>
        <color rgb="FF1F6FB0"/>
      </dataBar>
    </cfRule>
    <cfRule type="dataBar" priority="17">
      <dataBar>
        <cfvo type="min"/>
        <cfvo type="max"/>
        <color rgb="FF1F6FB0"/>
      </dataBar>
    </cfRule>
  </conditionalFormatting>
  <conditionalFormatting sqref="N13:N22">
    <cfRule type="containsText" dxfId="30" priority="2" operator="containsText" text="READY"/>
    <cfRule type="containsText" dxfId="29" priority="3" operator="containsText" text="MOVING"/>
    <cfRule type="containsText" dxfId="28" priority="4" operator="containsText" text="PARTIAL"/>
    <cfRule type="containsText" dxfId="27" priority="5" operator="containsText" text="NOT STARTED"/>
  </conditionalFormatting>
  <conditionalFormatting sqref="N30:N44">
    <cfRule type="expression" dxfId="26" priority="9">
      <formula>$N30="GO"</formula>
    </cfRule>
    <cfRule type="expression" dxfId="25" priority="10">
      <formula>$N30="WATCH"</formula>
    </cfRule>
    <cfRule type="expression" dxfId="24" priority="11">
      <formula>$N30="NO-GO"</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3"/>
  <sheetViews>
    <sheetView tabSelected="1" workbookViewId="0">
      <pane xSplit="7" ySplit="4" topLeftCell="H36" activePane="bottomRight" state="frozen"/>
      <selection pane="topRight" activeCell="G1" sqref="G1"/>
      <selection pane="bottomLeft" activeCell="A5" sqref="A5"/>
      <selection pane="bottomRight" activeCell="A42" sqref="A42:XFD42"/>
    </sheetView>
  </sheetViews>
  <sheetFormatPr defaultColWidth="8.6328125" defaultRowHeight="14.5" x14ac:dyDescent="0.35"/>
  <cols>
    <col min="1" max="1" width="16" customWidth="1"/>
    <col min="2" max="2" width="15.26953125" customWidth="1"/>
    <col min="3" max="3" width="12.7265625" customWidth="1"/>
    <col min="4" max="4" width="42" style="57" customWidth="1"/>
    <col min="5" max="5" width="10" hidden="1" customWidth="1"/>
    <col min="6" max="6" width="16" hidden="1" customWidth="1"/>
    <col min="7" max="7" width="10" hidden="1" customWidth="1"/>
    <col min="8" max="8" width="14.7265625" style="2" customWidth="1"/>
    <col min="9" max="9" width="11.6328125" style="5" customWidth="1"/>
    <col min="10" max="10" width="14.7265625" style="2" customWidth="1"/>
    <col min="11" max="11" width="14" customWidth="1"/>
    <col min="12" max="12" width="12.1796875" customWidth="1"/>
    <col min="13" max="13" width="106" customWidth="1"/>
  </cols>
  <sheetData>
    <row r="1" spans="1:14" ht="20" customHeight="1" x14ac:dyDescent="0.35">
      <c r="A1" s="68" t="s">
        <v>0</v>
      </c>
      <c r="B1" s="69"/>
      <c r="C1" s="69"/>
      <c r="D1" s="70"/>
      <c r="E1" s="69"/>
      <c r="F1" s="69"/>
      <c r="G1" s="69"/>
      <c r="H1" s="71"/>
      <c r="I1" s="72"/>
      <c r="J1" s="71"/>
      <c r="K1" s="69"/>
      <c r="L1" s="69"/>
      <c r="M1" s="69"/>
      <c r="N1" s="69"/>
    </row>
    <row r="2" spans="1:14" x14ac:dyDescent="0.35">
      <c r="A2" s="7" t="s">
        <v>1</v>
      </c>
    </row>
    <row r="4" spans="1:14" x14ac:dyDescent="0.35">
      <c r="A4" s="1" t="s">
        <v>2</v>
      </c>
      <c r="B4" s="1" t="s">
        <v>3</v>
      </c>
      <c r="C4" s="63" t="s">
        <v>4</v>
      </c>
      <c r="D4" s="58" t="s">
        <v>5</v>
      </c>
      <c r="E4" s="1" t="s">
        <v>6</v>
      </c>
      <c r="F4" s="1" t="s">
        <v>7</v>
      </c>
      <c r="G4" s="1" t="s">
        <v>8</v>
      </c>
      <c r="H4" s="3" t="s">
        <v>9</v>
      </c>
      <c r="I4" s="6" t="s">
        <v>10</v>
      </c>
      <c r="J4" s="4" t="s">
        <v>11</v>
      </c>
      <c r="K4" s="1" t="s">
        <v>12</v>
      </c>
      <c r="L4" s="1" t="s">
        <v>13</v>
      </c>
      <c r="M4" s="1" t="s">
        <v>14</v>
      </c>
    </row>
    <row r="5" spans="1:14" ht="29" x14ac:dyDescent="0.35">
      <c r="A5" s="51" t="s">
        <v>15</v>
      </c>
      <c r="B5" s="51" t="s">
        <v>16</v>
      </c>
      <c r="C5" s="53">
        <v>1</v>
      </c>
      <c r="D5" s="59" t="s">
        <v>17</v>
      </c>
      <c r="E5" s="51" t="s">
        <v>18</v>
      </c>
      <c r="F5" s="51" t="s">
        <v>19</v>
      </c>
      <c r="G5" s="51" t="s">
        <v>20</v>
      </c>
      <c r="H5" s="52">
        <v>46243</v>
      </c>
      <c r="I5" s="53">
        <v>5</v>
      </c>
      <c r="J5" s="52">
        <f t="shared" ref="J5:J36" si="0">H5+I5</f>
        <v>46248</v>
      </c>
      <c r="K5" s="51" t="s">
        <v>21</v>
      </c>
      <c r="L5" s="51" t="s">
        <v>22</v>
      </c>
      <c r="M5" s="51" t="s">
        <v>23</v>
      </c>
    </row>
    <row r="6" spans="1:14" ht="29" customHeight="1" x14ac:dyDescent="0.35">
      <c r="A6" s="54" t="s">
        <v>15</v>
      </c>
      <c r="B6" s="54" t="s">
        <v>16</v>
      </c>
      <c r="C6" s="56">
        <v>2</v>
      </c>
      <c r="D6" s="60" t="s">
        <v>24</v>
      </c>
      <c r="E6" s="54" t="s">
        <v>18</v>
      </c>
      <c r="F6" s="54" t="s">
        <v>19</v>
      </c>
      <c r="G6" s="54" t="s">
        <v>20</v>
      </c>
      <c r="H6" s="55">
        <v>46243</v>
      </c>
      <c r="I6" s="56">
        <v>5</v>
      </c>
      <c r="J6" s="55">
        <f t="shared" si="0"/>
        <v>46248</v>
      </c>
      <c r="K6" s="54" t="s">
        <v>21</v>
      </c>
      <c r="L6" s="54" t="s">
        <v>22</v>
      </c>
      <c r="M6" s="54" t="s">
        <v>25</v>
      </c>
    </row>
    <row r="7" spans="1:14" ht="29" x14ac:dyDescent="0.35">
      <c r="A7" s="54" t="s">
        <v>15</v>
      </c>
      <c r="B7" s="54" t="s">
        <v>16</v>
      </c>
      <c r="C7" s="56">
        <v>3</v>
      </c>
      <c r="D7" s="60" t="s">
        <v>26</v>
      </c>
      <c r="E7" s="54" t="s">
        <v>18</v>
      </c>
      <c r="F7" s="54" t="s">
        <v>19</v>
      </c>
      <c r="G7" s="54" t="s">
        <v>27</v>
      </c>
      <c r="H7" s="55">
        <v>46243</v>
      </c>
      <c r="I7" s="56">
        <v>7</v>
      </c>
      <c r="J7" s="55">
        <f t="shared" si="0"/>
        <v>46250</v>
      </c>
      <c r="K7" s="54" t="s">
        <v>21</v>
      </c>
      <c r="L7" s="54" t="s">
        <v>22</v>
      </c>
      <c r="M7" s="54" t="s">
        <v>28</v>
      </c>
    </row>
    <row r="8" spans="1:14" ht="29" customHeight="1" x14ac:dyDescent="0.35">
      <c r="A8" s="54" t="s">
        <v>15</v>
      </c>
      <c r="B8" s="54" t="s">
        <v>16</v>
      </c>
      <c r="C8" s="56">
        <v>4</v>
      </c>
      <c r="D8" s="60" t="s">
        <v>29</v>
      </c>
      <c r="E8" s="54" t="s">
        <v>18</v>
      </c>
      <c r="F8" s="54" t="s">
        <v>30</v>
      </c>
      <c r="G8" s="54" t="s">
        <v>27</v>
      </c>
      <c r="H8" s="55">
        <v>46243</v>
      </c>
      <c r="I8" s="56">
        <v>7</v>
      </c>
      <c r="J8" s="55">
        <f t="shared" si="0"/>
        <v>46250</v>
      </c>
      <c r="K8" s="54" t="s">
        <v>21</v>
      </c>
      <c r="L8" s="54" t="s">
        <v>22</v>
      </c>
      <c r="M8" s="54" t="s">
        <v>31</v>
      </c>
    </row>
    <row r="9" spans="1:14" ht="29" customHeight="1" x14ac:dyDescent="0.35">
      <c r="A9" s="54" t="s">
        <v>15</v>
      </c>
      <c r="B9" s="54" t="s">
        <v>16</v>
      </c>
      <c r="C9" s="56">
        <v>5</v>
      </c>
      <c r="D9" s="60" t="s">
        <v>32</v>
      </c>
      <c r="E9" s="54" t="s">
        <v>18</v>
      </c>
      <c r="F9" s="54" t="s">
        <v>19</v>
      </c>
      <c r="G9" s="54" t="s">
        <v>27</v>
      </c>
      <c r="H9" s="55">
        <v>46243</v>
      </c>
      <c r="I9" s="56">
        <v>7</v>
      </c>
      <c r="J9" s="55">
        <f t="shared" si="0"/>
        <v>46250</v>
      </c>
      <c r="K9" s="54" t="s">
        <v>21</v>
      </c>
      <c r="L9" s="54" t="s">
        <v>22</v>
      </c>
      <c r="M9" s="54" t="s">
        <v>33</v>
      </c>
    </row>
    <row r="10" spans="1:14" ht="29" customHeight="1" x14ac:dyDescent="0.35">
      <c r="A10" s="54" t="s">
        <v>15</v>
      </c>
      <c r="B10" s="54" t="s">
        <v>16</v>
      </c>
      <c r="C10" s="56">
        <v>6</v>
      </c>
      <c r="D10" s="60" t="s">
        <v>34</v>
      </c>
      <c r="E10" s="54" t="s">
        <v>18</v>
      </c>
      <c r="F10" s="54" t="s">
        <v>19</v>
      </c>
      <c r="G10" s="54" t="s">
        <v>35</v>
      </c>
      <c r="H10" s="55">
        <v>46243</v>
      </c>
      <c r="I10" s="56">
        <v>10</v>
      </c>
      <c r="J10" s="55">
        <f t="shared" si="0"/>
        <v>46253</v>
      </c>
      <c r="K10" s="54" t="s">
        <v>21</v>
      </c>
      <c r="L10" s="54" t="s">
        <v>36</v>
      </c>
      <c r="M10" s="54" t="s">
        <v>37</v>
      </c>
    </row>
    <row r="11" spans="1:14" ht="29" customHeight="1" x14ac:dyDescent="0.35">
      <c r="A11" s="54" t="s">
        <v>15</v>
      </c>
      <c r="B11" s="54" t="s">
        <v>16</v>
      </c>
      <c r="C11" s="56">
        <v>7</v>
      </c>
      <c r="D11" s="60" t="s">
        <v>38</v>
      </c>
      <c r="E11" s="54" t="s">
        <v>18</v>
      </c>
      <c r="F11" s="54" t="s">
        <v>19</v>
      </c>
      <c r="G11" s="54" t="s">
        <v>39</v>
      </c>
      <c r="H11" s="55">
        <v>46243</v>
      </c>
      <c r="I11" s="56">
        <v>10</v>
      </c>
      <c r="J11" s="55">
        <f t="shared" si="0"/>
        <v>46253</v>
      </c>
      <c r="K11" s="54" t="s">
        <v>21</v>
      </c>
      <c r="L11" s="54" t="s">
        <v>22</v>
      </c>
      <c r="M11" s="54" t="s">
        <v>40</v>
      </c>
    </row>
    <row r="12" spans="1:14" ht="43.5" customHeight="1" x14ac:dyDescent="0.35">
      <c r="A12" s="54" t="s">
        <v>15</v>
      </c>
      <c r="B12" s="54" t="s">
        <v>16</v>
      </c>
      <c r="C12" s="56">
        <v>8</v>
      </c>
      <c r="D12" s="60" t="s">
        <v>41</v>
      </c>
      <c r="E12" s="54" t="s">
        <v>18</v>
      </c>
      <c r="F12" s="54" t="s">
        <v>19</v>
      </c>
      <c r="G12" s="54" t="s">
        <v>39</v>
      </c>
      <c r="H12" s="55">
        <v>46243</v>
      </c>
      <c r="I12" s="56">
        <v>10</v>
      </c>
      <c r="J12" s="55">
        <f t="shared" si="0"/>
        <v>46253</v>
      </c>
      <c r="K12" s="54" t="s">
        <v>21</v>
      </c>
      <c r="L12" s="54" t="s">
        <v>22</v>
      </c>
      <c r="M12" s="54" t="s">
        <v>42</v>
      </c>
    </row>
    <row r="13" spans="1:14" ht="29" x14ac:dyDescent="0.35">
      <c r="A13" s="54" t="s">
        <v>15</v>
      </c>
      <c r="B13" s="54" t="s">
        <v>16</v>
      </c>
      <c r="C13" s="56">
        <v>9</v>
      </c>
      <c r="D13" s="60" t="s">
        <v>43</v>
      </c>
      <c r="E13" s="54" t="s">
        <v>18</v>
      </c>
      <c r="F13" s="54" t="s">
        <v>19</v>
      </c>
      <c r="G13" s="54" t="s">
        <v>39</v>
      </c>
      <c r="H13" s="55">
        <v>46243</v>
      </c>
      <c r="I13" s="56">
        <v>10</v>
      </c>
      <c r="J13" s="55">
        <f t="shared" si="0"/>
        <v>46253</v>
      </c>
      <c r="K13" s="54" t="s">
        <v>44</v>
      </c>
      <c r="L13" s="54" t="s">
        <v>22</v>
      </c>
      <c r="M13" s="54" t="s">
        <v>45</v>
      </c>
    </row>
    <row r="14" spans="1:14" ht="29" customHeight="1" x14ac:dyDescent="0.35">
      <c r="A14" s="54" t="s">
        <v>46</v>
      </c>
      <c r="B14" s="54" t="s">
        <v>47</v>
      </c>
      <c r="C14" s="56">
        <v>10</v>
      </c>
      <c r="D14" s="60" t="s">
        <v>48</v>
      </c>
      <c r="E14" s="54" t="s">
        <v>18</v>
      </c>
      <c r="F14" s="54" t="s">
        <v>30</v>
      </c>
      <c r="G14" s="54" t="s">
        <v>39</v>
      </c>
      <c r="H14" s="55">
        <v>46243</v>
      </c>
      <c r="I14" s="56">
        <v>14</v>
      </c>
      <c r="J14" s="55">
        <f t="shared" si="0"/>
        <v>46257</v>
      </c>
      <c r="K14" s="54" t="s">
        <v>21</v>
      </c>
      <c r="L14" s="54" t="s">
        <v>36</v>
      </c>
      <c r="M14" s="54" t="s">
        <v>49</v>
      </c>
    </row>
    <row r="15" spans="1:14" ht="29" customHeight="1" x14ac:dyDescent="0.35">
      <c r="A15" s="54" t="s">
        <v>46</v>
      </c>
      <c r="B15" s="54" t="s">
        <v>50</v>
      </c>
      <c r="C15" s="56">
        <v>11</v>
      </c>
      <c r="D15" s="60" t="s">
        <v>26</v>
      </c>
      <c r="E15" s="54" t="s">
        <v>18</v>
      </c>
      <c r="F15" s="54" t="s">
        <v>19</v>
      </c>
      <c r="G15" s="54" t="s">
        <v>27</v>
      </c>
      <c r="H15" s="55">
        <v>46243</v>
      </c>
      <c r="I15" s="56">
        <v>14</v>
      </c>
      <c r="J15" s="55">
        <f t="shared" si="0"/>
        <v>46257</v>
      </c>
      <c r="K15" s="54" t="s">
        <v>21</v>
      </c>
      <c r="L15" s="54" t="s">
        <v>22</v>
      </c>
      <c r="M15" s="54" t="s">
        <v>51</v>
      </c>
    </row>
    <row r="16" spans="1:14" ht="29" customHeight="1" x14ac:dyDescent="0.35">
      <c r="A16" s="54" t="s">
        <v>46</v>
      </c>
      <c r="B16" s="54" t="s">
        <v>50</v>
      </c>
      <c r="C16" s="56">
        <v>12</v>
      </c>
      <c r="D16" s="60" t="s">
        <v>52</v>
      </c>
      <c r="E16" s="54" t="s">
        <v>18</v>
      </c>
      <c r="F16" s="54" t="s">
        <v>19</v>
      </c>
      <c r="G16" s="54" t="s">
        <v>35</v>
      </c>
      <c r="H16" s="55">
        <v>46243</v>
      </c>
      <c r="I16" s="56">
        <v>14</v>
      </c>
      <c r="J16" s="55">
        <f t="shared" si="0"/>
        <v>46257</v>
      </c>
      <c r="K16" s="54" t="s">
        <v>21</v>
      </c>
      <c r="L16" s="54" t="s">
        <v>36</v>
      </c>
      <c r="M16" s="54" t="s">
        <v>53</v>
      </c>
    </row>
    <row r="17" spans="1:13" ht="29" customHeight="1" x14ac:dyDescent="0.35">
      <c r="A17" s="54" t="s">
        <v>46</v>
      </c>
      <c r="B17" s="54" t="s">
        <v>47</v>
      </c>
      <c r="C17" s="56">
        <v>13</v>
      </c>
      <c r="D17" s="60" t="s">
        <v>54</v>
      </c>
      <c r="E17" s="54" t="s">
        <v>18</v>
      </c>
      <c r="F17" s="54" t="s">
        <v>30</v>
      </c>
      <c r="G17" s="54" t="s">
        <v>27</v>
      </c>
      <c r="H17" s="55">
        <v>46243</v>
      </c>
      <c r="I17" s="56">
        <v>14</v>
      </c>
      <c r="J17" s="55">
        <f t="shared" si="0"/>
        <v>46257</v>
      </c>
      <c r="K17" s="54" t="s">
        <v>21</v>
      </c>
      <c r="L17" s="54" t="s">
        <v>22</v>
      </c>
      <c r="M17" s="54" t="s">
        <v>55</v>
      </c>
    </row>
    <row r="18" spans="1:13" x14ac:dyDescent="0.35">
      <c r="A18" s="54" t="s">
        <v>15</v>
      </c>
      <c r="B18" s="54" t="s">
        <v>56</v>
      </c>
      <c r="C18" s="56">
        <v>14</v>
      </c>
      <c r="D18" s="60" t="s">
        <v>57</v>
      </c>
      <c r="E18" s="54" t="s">
        <v>18</v>
      </c>
      <c r="F18" s="54" t="s">
        <v>19</v>
      </c>
      <c r="G18" s="54" t="s">
        <v>39</v>
      </c>
      <c r="H18" s="55">
        <v>46250</v>
      </c>
      <c r="I18" s="56">
        <v>5</v>
      </c>
      <c r="J18" s="55">
        <f t="shared" si="0"/>
        <v>46255</v>
      </c>
      <c r="K18" s="54" t="s">
        <v>21</v>
      </c>
      <c r="L18" s="54" t="s">
        <v>22</v>
      </c>
      <c r="M18" s="54" t="s">
        <v>58</v>
      </c>
    </row>
    <row r="19" spans="1:13" x14ac:dyDescent="0.35">
      <c r="A19" s="54" t="s">
        <v>15</v>
      </c>
      <c r="B19" s="54" t="s">
        <v>56</v>
      </c>
      <c r="C19" s="56">
        <v>15</v>
      </c>
      <c r="D19" s="60" t="s">
        <v>59</v>
      </c>
      <c r="E19" s="54" t="s">
        <v>18</v>
      </c>
      <c r="F19" s="54" t="s">
        <v>19</v>
      </c>
      <c r="G19" s="54" t="s">
        <v>39</v>
      </c>
      <c r="H19" s="55">
        <v>46250</v>
      </c>
      <c r="I19" s="56">
        <v>5</v>
      </c>
      <c r="J19" s="55">
        <f t="shared" si="0"/>
        <v>46255</v>
      </c>
      <c r="K19" s="54" t="s">
        <v>21</v>
      </c>
      <c r="L19" s="54" t="s">
        <v>22</v>
      </c>
      <c r="M19" s="54" t="s">
        <v>60</v>
      </c>
    </row>
    <row r="20" spans="1:13" x14ac:dyDescent="0.35">
      <c r="A20" s="54" t="s">
        <v>15</v>
      </c>
      <c r="B20" s="54" t="s">
        <v>56</v>
      </c>
      <c r="C20" s="56">
        <v>16</v>
      </c>
      <c r="D20" s="60" t="s">
        <v>61</v>
      </c>
      <c r="E20" s="54" t="s">
        <v>18</v>
      </c>
      <c r="F20" s="54" t="s">
        <v>19</v>
      </c>
      <c r="G20" s="54" t="s">
        <v>39</v>
      </c>
      <c r="H20" s="55">
        <v>46250</v>
      </c>
      <c r="I20" s="56">
        <v>10</v>
      </c>
      <c r="J20" s="55">
        <f t="shared" si="0"/>
        <v>46260</v>
      </c>
      <c r="K20" s="54" t="s">
        <v>21</v>
      </c>
      <c r="L20" s="54" t="s">
        <v>22</v>
      </c>
      <c r="M20" s="54" t="s">
        <v>62</v>
      </c>
    </row>
    <row r="21" spans="1:13" x14ac:dyDescent="0.35">
      <c r="A21" s="54" t="s">
        <v>15</v>
      </c>
      <c r="B21" s="54" t="s">
        <v>56</v>
      </c>
      <c r="C21" s="56">
        <v>17</v>
      </c>
      <c r="D21" s="60" t="s">
        <v>63</v>
      </c>
      <c r="E21" s="54" t="s">
        <v>18</v>
      </c>
      <c r="F21" s="54" t="s">
        <v>19</v>
      </c>
      <c r="G21" s="54" t="s">
        <v>39</v>
      </c>
      <c r="H21" s="55">
        <v>46250</v>
      </c>
      <c r="I21" s="56">
        <v>10</v>
      </c>
      <c r="J21" s="55">
        <f t="shared" si="0"/>
        <v>46260</v>
      </c>
      <c r="K21" s="54" t="s">
        <v>21</v>
      </c>
      <c r="L21" s="54" t="s">
        <v>22</v>
      </c>
      <c r="M21" s="54" t="s">
        <v>64</v>
      </c>
    </row>
    <row r="22" spans="1:13" ht="29" customHeight="1" x14ac:dyDescent="0.35">
      <c r="A22" s="54" t="s">
        <v>15</v>
      </c>
      <c r="B22" s="54" t="s">
        <v>56</v>
      </c>
      <c r="C22" s="56">
        <v>18</v>
      </c>
      <c r="D22" s="60" t="s">
        <v>65</v>
      </c>
      <c r="E22" s="54" t="s">
        <v>18</v>
      </c>
      <c r="F22" s="54" t="s">
        <v>30</v>
      </c>
      <c r="G22" s="54" t="s">
        <v>35</v>
      </c>
      <c r="H22" s="55">
        <v>46250</v>
      </c>
      <c r="I22" s="56">
        <v>10</v>
      </c>
      <c r="J22" s="55">
        <f t="shared" si="0"/>
        <v>46260</v>
      </c>
      <c r="K22" s="54" t="s">
        <v>21</v>
      </c>
      <c r="L22" s="54" t="s">
        <v>36</v>
      </c>
      <c r="M22" s="54" t="s">
        <v>66</v>
      </c>
    </row>
    <row r="23" spans="1:13" ht="43.5" customHeight="1" x14ac:dyDescent="0.35">
      <c r="A23" s="54" t="s">
        <v>15</v>
      </c>
      <c r="B23" s="54" t="s">
        <v>56</v>
      </c>
      <c r="C23" s="56">
        <v>19</v>
      </c>
      <c r="D23" s="60" t="s">
        <v>67</v>
      </c>
      <c r="E23" s="54" t="s">
        <v>18</v>
      </c>
      <c r="F23" s="54" t="s">
        <v>30</v>
      </c>
      <c r="G23" s="54" t="s">
        <v>27</v>
      </c>
      <c r="H23" s="55">
        <v>46250</v>
      </c>
      <c r="I23" s="56">
        <v>14</v>
      </c>
      <c r="J23" s="55">
        <f t="shared" si="0"/>
        <v>46264</v>
      </c>
      <c r="K23" s="54" t="s">
        <v>21</v>
      </c>
      <c r="L23" s="54" t="s">
        <v>22</v>
      </c>
      <c r="M23" s="54" t="s">
        <v>68</v>
      </c>
    </row>
    <row r="24" spans="1:13" ht="29" customHeight="1" x14ac:dyDescent="0.35">
      <c r="A24" s="54" t="s">
        <v>15</v>
      </c>
      <c r="B24" s="54" t="s">
        <v>56</v>
      </c>
      <c r="C24" s="56">
        <v>20</v>
      </c>
      <c r="D24" s="60" t="s">
        <v>69</v>
      </c>
      <c r="E24" s="54" t="s">
        <v>18</v>
      </c>
      <c r="F24" s="54" t="s">
        <v>30</v>
      </c>
      <c r="G24" s="54" t="s">
        <v>35</v>
      </c>
      <c r="H24" s="55">
        <v>46250</v>
      </c>
      <c r="I24" s="56">
        <v>14</v>
      </c>
      <c r="J24" s="55">
        <f t="shared" si="0"/>
        <v>46264</v>
      </c>
      <c r="K24" s="54" t="s">
        <v>70</v>
      </c>
      <c r="L24" s="54" t="s">
        <v>36</v>
      </c>
      <c r="M24" s="54" t="s">
        <v>71</v>
      </c>
    </row>
    <row r="25" spans="1:13" ht="29" customHeight="1" x14ac:dyDescent="0.35">
      <c r="A25" s="54" t="s">
        <v>15</v>
      </c>
      <c r="B25" s="54" t="s">
        <v>56</v>
      </c>
      <c r="C25" s="56">
        <v>21</v>
      </c>
      <c r="D25" s="60" t="s">
        <v>72</v>
      </c>
      <c r="E25" s="54" t="s">
        <v>18</v>
      </c>
      <c r="F25" s="54" t="s">
        <v>30</v>
      </c>
      <c r="G25" s="54" t="s">
        <v>35</v>
      </c>
      <c r="H25" s="55">
        <v>46250</v>
      </c>
      <c r="I25" s="56">
        <v>14</v>
      </c>
      <c r="J25" s="55">
        <f t="shared" si="0"/>
        <v>46264</v>
      </c>
      <c r="K25" s="54" t="s">
        <v>70</v>
      </c>
      <c r="L25" s="54" t="s">
        <v>36</v>
      </c>
      <c r="M25" s="54" t="s">
        <v>73</v>
      </c>
    </row>
    <row r="26" spans="1:13" ht="29" customHeight="1" x14ac:dyDescent="0.35">
      <c r="A26" s="54" t="s">
        <v>15</v>
      </c>
      <c r="B26" s="54" t="s">
        <v>56</v>
      </c>
      <c r="C26" s="56">
        <v>22</v>
      </c>
      <c r="D26" s="60" t="s">
        <v>74</v>
      </c>
      <c r="E26" s="54" t="s">
        <v>18</v>
      </c>
      <c r="F26" s="54" t="s">
        <v>19</v>
      </c>
      <c r="G26" s="54" t="s">
        <v>20</v>
      </c>
      <c r="H26" s="55">
        <v>46257</v>
      </c>
      <c r="I26" s="56">
        <v>7</v>
      </c>
      <c r="J26" s="55">
        <f t="shared" si="0"/>
        <v>46264</v>
      </c>
      <c r="K26" s="54" t="s">
        <v>21</v>
      </c>
      <c r="L26" s="54" t="s">
        <v>22</v>
      </c>
      <c r="M26" s="54" t="s">
        <v>75</v>
      </c>
    </row>
    <row r="27" spans="1:13" ht="58" customHeight="1" x14ac:dyDescent="0.35">
      <c r="A27" s="54" t="s">
        <v>15</v>
      </c>
      <c r="B27" s="54" t="s">
        <v>56</v>
      </c>
      <c r="C27" s="56">
        <v>23</v>
      </c>
      <c r="D27" s="60" t="s">
        <v>76</v>
      </c>
      <c r="E27" s="54" t="s">
        <v>18</v>
      </c>
      <c r="F27" s="54" t="s">
        <v>19</v>
      </c>
      <c r="G27" s="54" t="s">
        <v>20</v>
      </c>
      <c r="H27" s="55">
        <v>46257</v>
      </c>
      <c r="I27" s="56">
        <v>14</v>
      </c>
      <c r="J27" s="55">
        <f t="shared" si="0"/>
        <v>46271</v>
      </c>
      <c r="K27" s="54" t="s">
        <v>77</v>
      </c>
      <c r="L27" s="54" t="s">
        <v>22</v>
      </c>
      <c r="M27" s="54" t="s">
        <v>78</v>
      </c>
    </row>
    <row r="28" spans="1:13" ht="29" customHeight="1" x14ac:dyDescent="0.35">
      <c r="A28" s="54" t="s">
        <v>15</v>
      </c>
      <c r="B28" s="54" t="s">
        <v>56</v>
      </c>
      <c r="C28" s="56">
        <v>24</v>
      </c>
      <c r="D28" s="60" t="s">
        <v>79</v>
      </c>
      <c r="E28" s="54" t="s">
        <v>18</v>
      </c>
      <c r="F28" s="54" t="s">
        <v>19</v>
      </c>
      <c r="G28" s="54" t="s">
        <v>27</v>
      </c>
      <c r="H28" s="55">
        <v>46257</v>
      </c>
      <c r="I28" s="56">
        <v>14</v>
      </c>
      <c r="J28" s="55">
        <f t="shared" si="0"/>
        <v>46271</v>
      </c>
      <c r="K28" s="54" t="s">
        <v>70</v>
      </c>
      <c r="L28" s="54" t="s">
        <v>22</v>
      </c>
      <c r="M28" s="54" t="s">
        <v>80</v>
      </c>
    </row>
    <row r="29" spans="1:13" ht="29" customHeight="1" x14ac:dyDescent="0.35">
      <c r="A29" s="54" t="s">
        <v>15</v>
      </c>
      <c r="B29" s="54" t="s">
        <v>56</v>
      </c>
      <c r="C29" s="56">
        <v>25</v>
      </c>
      <c r="D29" s="60" t="s">
        <v>81</v>
      </c>
      <c r="E29" s="54" t="s">
        <v>18</v>
      </c>
      <c r="F29" s="54" t="s">
        <v>19</v>
      </c>
      <c r="G29" s="54" t="s">
        <v>27</v>
      </c>
      <c r="H29" s="55">
        <v>46257</v>
      </c>
      <c r="I29" s="56">
        <v>14</v>
      </c>
      <c r="J29" s="55">
        <f t="shared" si="0"/>
        <v>46271</v>
      </c>
      <c r="K29" s="54" t="s">
        <v>70</v>
      </c>
      <c r="L29" s="54" t="s">
        <v>22</v>
      </c>
      <c r="M29" s="54"/>
    </row>
    <row r="30" spans="1:13" x14ac:dyDescent="0.35">
      <c r="A30" s="54" t="s">
        <v>15</v>
      </c>
      <c r="B30" s="54" t="s">
        <v>56</v>
      </c>
      <c r="C30" s="56">
        <v>26</v>
      </c>
      <c r="D30" s="60" t="s">
        <v>82</v>
      </c>
      <c r="E30" s="54" t="s">
        <v>18</v>
      </c>
      <c r="F30" s="54" t="s">
        <v>19</v>
      </c>
      <c r="G30" s="54" t="s">
        <v>39</v>
      </c>
      <c r="H30" s="55">
        <v>46257</v>
      </c>
      <c r="I30" s="56">
        <v>14</v>
      </c>
      <c r="J30" s="55">
        <f t="shared" si="0"/>
        <v>46271</v>
      </c>
      <c r="K30" s="54" t="s">
        <v>70</v>
      </c>
      <c r="L30" s="54" t="s">
        <v>36</v>
      </c>
      <c r="M30" s="54"/>
    </row>
    <row r="31" spans="1:13" x14ac:dyDescent="0.35">
      <c r="A31" s="54" t="s">
        <v>15</v>
      </c>
      <c r="B31" s="54" t="s">
        <v>56</v>
      </c>
      <c r="C31" s="56">
        <v>27</v>
      </c>
      <c r="D31" s="60" t="s">
        <v>83</v>
      </c>
      <c r="E31" s="54" t="s">
        <v>84</v>
      </c>
      <c r="F31" s="54" t="s">
        <v>19</v>
      </c>
      <c r="G31" s="54" t="s">
        <v>20</v>
      </c>
      <c r="H31" s="55">
        <v>46257</v>
      </c>
      <c r="I31" s="56">
        <v>1</v>
      </c>
      <c r="J31" s="55">
        <f t="shared" si="0"/>
        <v>46258</v>
      </c>
      <c r="K31" s="54" t="s">
        <v>70</v>
      </c>
      <c r="L31" s="54" t="s">
        <v>22</v>
      </c>
      <c r="M31" s="54" t="s">
        <v>85</v>
      </c>
    </row>
    <row r="32" spans="1:13" ht="29" customHeight="1" x14ac:dyDescent="0.35">
      <c r="A32" s="54" t="s">
        <v>86</v>
      </c>
      <c r="B32" s="54" t="s">
        <v>87</v>
      </c>
      <c r="C32" s="56">
        <v>28</v>
      </c>
      <c r="D32" s="60" t="s">
        <v>88</v>
      </c>
      <c r="E32" s="54" t="s">
        <v>89</v>
      </c>
      <c r="F32" s="54" t="s">
        <v>90</v>
      </c>
      <c r="G32" s="54" t="s">
        <v>90</v>
      </c>
      <c r="H32" s="55">
        <v>46243</v>
      </c>
      <c r="I32" s="56">
        <v>14</v>
      </c>
      <c r="J32" s="55">
        <f t="shared" si="0"/>
        <v>46257</v>
      </c>
      <c r="K32" s="54" t="s">
        <v>70</v>
      </c>
      <c r="L32" s="54" t="s">
        <v>90</v>
      </c>
      <c r="M32" s="54" t="s">
        <v>91</v>
      </c>
    </row>
    <row r="33" spans="1:13" ht="29" customHeight="1" x14ac:dyDescent="0.35">
      <c r="A33" s="54" t="s">
        <v>92</v>
      </c>
      <c r="B33" s="54" t="s">
        <v>93</v>
      </c>
      <c r="C33" s="56">
        <v>29</v>
      </c>
      <c r="D33" s="60" t="s">
        <v>94</v>
      </c>
      <c r="E33" s="54" t="s">
        <v>18</v>
      </c>
      <c r="F33" s="54" t="s">
        <v>19</v>
      </c>
      <c r="G33" s="54" t="s">
        <v>39</v>
      </c>
      <c r="H33" s="55">
        <v>46243</v>
      </c>
      <c r="I33" s="56">
        <v>5</v>
      </c>
      <c r="J33" s="55">
        <f t="shared" si="0"/>
        <v>46248</v>
      </c>
      <c r="K33" s="54" t="s">
        <v>70</v>
      </c>
      <c r="L33" s="54" t="s">
        <v>36</v>
      </c>
      <c r="M33" s="54" t="s">
        <v>95</v>
      </c>
    </row>
    <row r="34" spans="1:13" ht="29" customHeight="1" x14ac:dyDescent="0.35">
      <c r="A34" s="54" t="s">
        <v>96</v>
      </c>
      <c r="B34" s="54" t="s">
        <v>97</v>
      </c>
      <c r="C34" s="56">
        <v>31</v>
      </c>
      <c r="D34" s="60" t="s">
        <v>98</v>
      </c>
      <c r="E34" s="54" t="s">
        <v>18</v>
      </c>
      <c r="F34" s="54" t="s">
        <v>19</v>
      </c>
      <c r="G34" s="54" t="s">
        <v>20</v>
      </c>
      <c r="H34" s="55">
        <v>46243</v>
      </c>
      <c r="I34" s="56">
        <v>14</v>
      </c>
      <c r="J34" s="55">
        <f t="shared" si="0"/>
        <v>46257</v>
      </c>
      <c r="K34" s="54" t="s">
        <v>21</v>
      </c>
      <c r="L34" s="54" t="s">
        <v>99</v>
      </c>
      <c r="M34" s="54" t="s">
        <v>100</v>
      </c>
    </row>
    <row r="35" spans="1:13" ht="29" customHeight="1" x14ac:dyDescent="0.35">
      <c r="A35" s="54" t="s">
        <v>96</v>
      </c>
      <c r="B35" s="54" t="s">
        <v>97</v>
      </c>
      <c r="C35" s="56">
        <v>32</v>
      </c>
      <c r="D35" s="60" t="s">
        <v>101</v>
      </c>
      <c r="E35" s="54" t="s">
        <v>18</v>
      </c>
      <c r="F35" s="54" t="s">
        <v>19</v>
      </c>
      <c r="G35" s="54" t="s">
        <v>20</v>
      </c>
      <c r="H35" s="55">
        <v>46243</v>
      </c>
      <c r="I35" s="56">
        <v>14</v>
      </c>
      <c r="J35" s="55">
        <f t="shared" si="0"/>
        <v>46257</v>
      </c>
      <c r="K35" s="54" t="s">
        <v>70</v>
      </c>
      <c r="L35" s="54" t="s">
        <v>99</v>
      </c>
      <c r="M35" s="54" t="s">
        <v>102</v>
      </c>
    </row>
    <row r="36" spans="1:13" ht="29" customHeight="1" x14ac:dyDescent="0.35">
      <c r="A36" s="54" t="s">
        <v>96</v>
      </c>
      <c r="B36" s="54" t="s">
        <v>97</v>
      </c>
      <c r="C36" s="56">
        <v>33</v>
      </c>
      <c r="D36" s="60" t="s">
        <v>103</v>
      </c>
      <c r="E36" s="54" t="s">
        <v>18</v>
      </c>
      <c r="F36" s="54" t="s">
        <v>19</v>
      </c>
      <c r="G36" s="54" t="s">
        <v>20</v>
      </c>
      <c r="H36" s="55">
        <v>46243</v>
      </c>
      <c r="I36" s="56">
        <v>14</v>
      </c>
      <c r="J36" s="55">
        <f t="shared" si="0"/>
        <v>46257</v>
      </c>
      <c r="K36" s="54" t="s">
        <v>70</v>
      </c>
      <c r="L36" s="54" t="s">
        <v>99</v>
      </c>
      <c r="M36" s="54" t="s">
        <v>104</v>
      </c>
    </row>
    <row r="37" spans="1:13" ht="29" customHeight="1" x14ac:dyDescent="0.35">
      <c r="A37" s="54" t="s">
        <v>96</v>
      </c>
      <c r="B37" s="54" t="s">
        <v>105</v>
      </c>
      <c r="C37" s="56">
        <v>34</v>
      </c>
      <c r="D37" s="60" t="s">
        <v>106</v>
      </c>
      <c r="E37" s="54" t="s">
        <v>18</v>
      </c>
      <c r="F37" s="54" t="s">
        <v>19</v>
      </c>
      <c r="G37" s="54" t="s">
        <v>27</v>
      </c>
      <c r="H37" s="55">
        <v>46243</v>
      </c>
      <c r="I37" s="56">
        <v>14</v>
      </c>
      <c r="J37" s="55">
        <f t="shared" ref="J37:J68" si="1">H37+I37</f>
        <v>46257</v>
      </c>
      <c r="K37" s="54" t="s">
        <v>70</v>
      </c>
      <c r="L37" s="54" t="s">
        <v>99</v>
      </c>
      <c r="M37" s="54"/>
    </row>
    <row r="38" spans="1:13" ht="29" x14ac:dyDescent="0.35">
      <c r="A38" s="54" t="s">
        <v>92</v>
      </c>
      <c r="B38" s="54" t="s">
        <v>107</v>
      </c>
      <c r="C38" s="56">
        <v>35</v>
      </c>
      <c r="D38" s="60" t="s">
        <v>108</v>
      </c>
      <c r="E38" s="54" t="s">
        <v>18</v>
      </c>
      <c r="F38" s="54" t="s">
        <v>19</v>
      </c>
      <c r="G38" s="54" t="s">
        <v>39</v>
      </c>
      <c r="H38" s="55">
        <v>46243</v>
      </c>
      <c r="I38" s="56"/>
      <c r="J38" s="55">
        <f t="shared" si="1"/>
        <v>46243</v>
      </c>
      <c r="K38" s="54" t="s">
        <v>70</v>
      </c>
      <c r="L38" s="54" t="s">
        <v>36</v>
      </c>
      <c r="M38" s="54"/>
    </row>
    <row r="39" spans="1:13" ht="29" customHeight="1" x14ac:dyDescent="0.35">
      <c r="A39" s="54" t="s">
        <v>109</v>
      </c>
      <c r="B39" s="54" t="s">
        <v>110</v>
      </c>
      <c r="C39" s="56">
        <v>36</v>
      </c>
      <c r="D39" s="60" t="s">
        <v>111</v>
      </c>
      <c r="E39" s="54" t="s">
        <v>109</v>
      </c>
      <c r="F39" s="54" t="s">
        <v>19</v>
      </c>
      <c r="G39" s="54" t="s">
        <v>27</v>
      </c>
      <c r="H39" s="55">
        <v>46243</v>
      </c>
      <c r="I39" s="56">
        <v>21</v>
      </c>
      <c r="J39" s="55">
        <f t="shared" si="1"/>
        <v>46264</v>
      </c>
      <c r="K39" s="54" t="s">
        <v>70</v>
      </c>
      <c r="L39" s="54" t="s">
        <v>90</v>
      </c>
      <c r="M39" s="54" t="s">
        <v>112</v>
      </c>
    </row>
    <row r="40" spans="1:13" x14ac:dyDescent="0.35">
      <c r="A40" s="54" t="s">
        <v>109</v>
      </c>
      <c r="B40" s="54" t="s">
        <v>110</v>
      </c>
      <c r="C40" s="56">
        <v>37</v>
      </c>
      <c r="D40" s="60" t="s">
        <v>113</v>
      </c>
      <c r="E40" s="54" t="s">
        <v>109</v>
      </c>
      <c r="F40" s="54" t="s">
        <v>19</v>
      </c>
      <c r="G40" s="54" t="s">
        <v>27</v>
      </c>
      <c r="H40" s="55">
        <v>46243</v>
      </c>
      <c r="I40" s="56">
        <v>21</v>
      </c>
      <c r="J40" s="55">
        <f t="shared" si="1"/>
        <v>46264</v>
      </c>
      <c r="K40" s="54" t="s">
        <v>70</v>
      </c>
      <c r="L40" s="54" t="s">
        <v>90</v>
      </c>
      <c r="M40" s="54" t="s">
        <v>114</v>
      </c>
    </row>
    <row r="41" spans="1:13" x14ac:dyDescent="0.35">
      <c r="A41" s="54" t="s">
        <v>109</v>
      </c>
      <c r="B41" s="54" t="s">
        <v>110</v>
      </c>
      <c r="C41" s="56">
        <v>38</v>
      </c>
      <c r="D41" s="60" t="s">
        <v>115</v>
      </c>
      <c r="E41" s="54" t="s">
        <v>109</v>
      </c>
      <c r="F41" s="54" t="s">
        <v>19</v>
      </c>
      <c r="G41" s="54" t="s">
        <v>27</v>
      </c>
      <c r="H41" s="55">
        <v>46243</v>
      </c>
      <c r="I41" s="56">
        <v>21</v>
      </c>
      <c r="J41" s="55">
        <f t="shared" si="1"/>
        <v>46264</v>
      </c>
      <c r="K41" s="54" t="s">
        <v>70</v>
      </c>
      <c r="L41" s="54" t="s">
        <v>90</v>
      </c>
      <c r="M41" s="54" t="s">
        <v>116</v>
      </c>
    </row>
    <row r="42" spans="1:13" x14ac:dyDescent="0.35">
      <c r="A42" s="54" t="s">
        <v>109</v>
      </c>
      <c r="B42" s="54" t="s">
        <v>110</v>
      </c>
      <c r="C42" s="56">
        <v>39</v>
      </c>
      <c r="D42" s="60" t="s">
        <v>117</v>
      </c>
      <c r="E42" s="54" t="s">
        <v>109</v>
      </c>
      <c r="F42" s="54" t="s">
        <v>19</v>
      </c>
      <c r="G42" s="54" t="s">
        <v>27</v>
      </c>
      <c r="H42" s="55">
        <v>46243</v>
      </c>
      <c r="I42" s="56">
        <v>21</v>
      </c>
      <c r="J42" s="55">
        <f t="shared" si="1"/>
        <v>46264</v>
      </c>
      <c r="K42" s="54" t="s">
        <v>70</v>
      </c>
      <c r="L42" s="54" t="s">
        <v>90</v>
      </c>
      <c r="M42" s="54" t="s">
        <v>118</v>
      </c>
    </row>
    <row r="43" spans="1:13" ht="29" customHeight="1" x14ac:dyDescent="0.35">
      <c r="A43" s="54" t="s">
        <v>109</v>
      </c>
      <c r="B43" s="54" t="s">
        <v>110</v>
      </c>
      <c r="C43" s="56">
        <v>40</v>
      </c>
      <c r="D43" s="60" t="s">
        <v>119</v>
      </c>
      <c r="E43" s="54" t="s">
        <v>109</v>
      </c>
      <c r="F43" s="54" t="s">
        <v>19</v>
      </c>
      <c r="G43" s="54" t="s">
        <v>27</v>
      </c>
      <c r="H43" s="55">
        <v>46243</v>
      </c>
      <c r="I43" s="56">
        <v>21</v>
      </c>
      <c r="J43" s="55">
        <f t="shared" si="1"/>
        <v>46264</v>
      </c>
      <c r="K43" s="54" t="s">
        <v>70</v>
      </c>
      <c r="L43" s="54" t="s">
        <v>90</v>
      </c>
      <c r="M43" s="54" t="s">
        <v>120</v>
      </c>
    </row>
    <row r="44" spans="1:13" x14ac:dyDescent="0.35">
      <c r="A44" s="54" t="s">
        <v>109</v>
      </c>
      <c r="B44" s="54" t="s">
        <v>110</v>
      </c>
      <c r="C44" s="56">
        <v>41</v>
      </c>
      <c r="D44" s="60" t="s">
        <v>121</v>
      </c>
      <c r="E44" s="54" t="s">
        <v>109</v>
      </c>
      <c r="F44" s="54" t="s">
        <v>19</v>
      </c>
      <c r="G44" s="54" t="s">
        <v>27</v>
      </c>
      <c r="H44" s="55">
        <v>46243</v>
      </c>
      <c r="I44" s="56">
        <v>21</v>
      </c>
      <c r="J44" s="55">
        <f t="shared" si="1"/>
        <v>46264</v>
      </c>
      <c r="K44" s="54" t="s">
        <v>70</v>
      </c>
      <c r="L44" s="54" t="s">
        <v>90</v>
      </c>
      <c r="M44" s="54" t="s">
        <v>122</v>
      </c>
    </row>
    <row r="45" spans="1:13" ht="29" customHeight="1" x14ac:dyDescent="0.35">
      <c r="A45" s="54" t="s">
        <v>109</v>
      </c>
      <c r="B45" s="54" t="s">
        <v>110</v>
      </c>
      <c r="C45" s="56">
        <v>42</v>
      </c>
      <c r="D45" s="60" t="s">
        <v>123</v>
      </c>
      <c r="E45" s="54" t="s">
        <v>109</v>
      </c>
      <c r="F45" s="54" t="s">
        <v>19</v>
      </c>
      <c r="G45" s="54" t="s">
        <v>27</v>
      </c>
      <c r="H45" s="55">
        <v>46243</v>
      </c>
      <c r="I45" s="56">
        <v>21</v>
      </c>
      <c r="J45" s="55">
        <f t="shared" si="1"/>
        <v>46264</v>
      </c>
      <c r="K45" s="54" t="s">
        <v>70</v>
      </c>
      <c r="L45" s="54" t="s">
        <v>90</v>
      </c>
      <c r="M45" s="54" t="s">
        <v>124</v>
      </c>
    </row>
    <row r="46" spans="1:13" ht="29" customHeight="1" x14ac:dyDescent="0.35">
      <c r="A46" s="54" t="s">
        <v>109</v>
      </c>
      <c r="B46" s="54" t="s">
        <v>110</v>
      </c>
      <c r="C46" s="56">
        <v>43</v>
      </c>
      <c r="D46" s="60" t="s">
        <v>125</v>
      </c>
      <c r="E46" s="54" t="s">
        <v>109</v>
      </c>
      <c r="F46" s="54" t="s">
        <v>19</v>
      </c>
      <c r="G46" s="54" t="s">
        <v>27</v>
      </c>
      <c r="H46" s="55">
        <v>46243</v>
      </c>
      <c r="I46" s="56">
        <v>21</v>
      </c>
      <c r="J46" s="55">
        <f t="shared" si="1"/>
        <v>46264</v>
      </c>
      <c r="K46" s="54" t="s">
        <v>70</v>
      </c>
      <c r="L46" s="54" t="s">
        <v>90</v>
      </c>
      <c r="M46" s="54" t="s">
        <v>126</v>
      </c>
    </row>
    <row r="47" spans="1:13" ht="29" customHeight="1" x14ac:dyDescent="0.35">
      <c r="A47" s="54" t="s">
        <v>109</v>
      </c>
      <c r="B47" s="54" t="s">
        <v>110</v>
      </c>
      <c r="C47" s="56">
        <v>44</v>
      </c>
      <c r="D47" s="60" t="s">
        <v>127</v>
      </c>
      <c r="E47" s="54" t="s">
        <v>109</v>
      </c>
      <c r="F47" s="54" t="s">
        <v>19</v>
      </c>
      <c r="G47" s="54" t="s">
        <v>27</v>
      </c>
      <c r="H47" s="55">
        <v>46243</v>
      </c>
      <c r="I47" s="56">
        <v>21</v>
      </c>
      <c r="J47" s="55">
        <f t="shared" si="1"/>
        <v>46264</v>
      </c>
      <c r="K47" s="54" t="s">
        <v>21</v>
      </c>
      <c r="L47" s="54" t="s">
        <v>90</v>
      </c>
      <c r="M47" s="54" t="s">
        <v>128</v>
      </c>
    </row>
    <row r="48" spans="1:13" ht="29" customHeight="1" x14ac:dyDescent="0.35">
      <c r="A48" s="54" t="s">
        <v>109</v>
      </c>
      <c r="B48" s="54" t="s">
        <v>110</v>
      </c>
      <c r="C48" s="56">
        <v>45</v>
      </c>
      <c r="D48" s="60" t="s">
        <v>129</v>
      </c>
      <c r="E48" s="54" t="s">
        <v>109</v>
      </c>
      <c r="F48" s="54" t="s">
        <v>19</v>
      </c>
      <c r="G48" s="54" t="s">
        <v>27</v>
      </c>
      <c r="H48" s="55">
        <v>46243</v>
      </c>
      <c r="I48" s="56">
        <v>21</v>
      </c>
      <c r="J48" s="55">
        <f t="shared" si="1"/>
        <v>46264</v>
      </c>
      <c r="K48" s="54" t="s">
        <v>21</v>
      </c>
      <c r="L48" s="54" t="s">
        <v>90</v>
      </c>
      <c r="M48" s="54" t="s">
        <v>130</v>
      </c>
    </row>
    <row r="49" spans="1:13" ht="29" customHeight="1" x14ac:dyDescent="0.35">
      <c r="A49" s="54" t="s">
        <v>109</v>
      </c>
      <c r="B49" s="54" t="s">
        <v>110</v>
      </c>
      <c r="C49" s="56">
        <v>46</v>
      </c>
      <c r="D49" s="60" t="s">
        <v>131</v>
      </c>
      <c r="E49" s="54" t="s">
        <v>109</v>
      </c>
      <c r="F49" s="54" t="s">
        <v>19</v>
      </c>
      <c r="G49" s="54" t="s">
        <v>39</v>
      </c>
      <c r="H49" s="55">
        <v>46243</v>
      </c>
      <c r="I49" s="56">
        <v>21</v>
      </c>
      <c r="J49" s="55">
        <f t="shared" si="1"/>
        <v>46264</v>
      </c>
      <c r="K49" s="54" t="s">
        <v>70</v>
      </c>
      <c r="L49" s="54" t="s">
        <v>90</v>
      </c>
      <c r="M49" s="54" t="s">
        <v>132</v>
      </c>
    </row>
    <row r="50" spans="1:13" ht="29" customHeight="1" x14ac:dyDescent="0.35">
      <c r="A50" s="54" t="s">
        <v>109</v>
      </c>
      <c r="B50" s="54" t="s">
        <v>110</v>
      </c>
      <c r="C50" s="56">
        <v>47</v>
      </c>
      <c r="D50" s="60" t="s">
        <v>133</v>
      </c>
      <c r="E50" s="54" t="s">
        <v>109</v>
      </c>
      <c r="F50" s="54" t="s">
        <v>19</v>
      </c>
      <c r="G50" s="54" t="s">
        <v>39</v>
      </c>
      <c r="H50" s="55">
        <v>46243</v>
      </c>
      <c r="I50" s="56">
        <v>21</v>
      </c>
      <c r="J50" s="55">
        <f t="shared" si="1"/>
        <v>46264</v>
      </c>
      <c r="K50" s="54" t="s">
        <v>70</v>
      </c>
      <c r="L50" s="54" t="s">
        <v>90</v>
      </c>
      <c r="M50" s="54" t="s">
        <v>134</v>
      </c>
    </row>
    <row r="51" spans="1:13" ht="29" customHeight="1" x14ac:dyDescent="0.35">
      <c r="A51" s="54" t="s">
        <v>109</v>
      </c>
      <c r="B51" s="54" t="s">
        <v>110</v>
      </c>
      <c r="C51" s="56">
        <v>48</v>
      </c>
      <c r="D51" s="60" t="s">
        <v>135</v>
      </c>
      <c r="E51" s="54" t="s">
        <v>109</v>
      </c>
      <c r="F51" s="54" t="s">
        <v>19</v>
      </c>
      <c r="G51" s="54" t="s">
        <v>39</v>
      </c>
      <c r="H51" s="55">
        <v>46243</v>
      </c>
      <c r="I51" s="56">
        <v>21</v>
      </c>
      <c r="J51" s="55">
        <f t="shared" si="1"/>
        <v>46264</v>
      </c>
      <c r="K51" s="54" t="s">
        <v>70</v>
      </c>
      <c r="L51" s="54" t="s">
        <v>90</v>
      </c>
      <c r="M51" s="54" t="s">
        <v>136</v>
      </c>
    </row>
    <row r="52" spans="1:13" ht="43.5" customHeight="1" x14ac:dyDescent="0.35">
      <c r="A52" s="54" t="s">
        <v>109</v>
      </c>
      <c r="B52" s="54" t="s">
        <v>110</v>
      </c>
      <c r="C52" s="56">
        <v>49</v>
      </c>
      <c r="D52" s="60" t="s">
        <v>137</v>
      </c>
      <c r="E52" s="54" t="s">
        <v>109</v>
      </c>
      <c r="F52" s="54" t="s">
        <v>19</v>
      </c>
      <c r="G52" s="54" t="s">
        <v>39</v>
      </c>
      <c r="H52" s="55">
        <v>46243</v>
      </c>
      <c r="I52" s="56">
        <v>21</v>
      </c>
      <c r="J52" s="55">
        <f t="shared" si="1"/>
        <v>46264</v>
      </c>
      <c r="K52" s="54" t="s">
        <v>70</v>
      </c>
      <c r="L52" s="54" t="s">
        <v>90</v>
      </c>
      <c r="M52" s="54" t="s">
        <v>138</v>
      </c>
    </row>
    <row r="53" spans="1:13" x14ac:dyDescent="0.35">
      <c r="A53" s="54" t="s">
        <v>15</v>
      </c>
      <c r="B53" s="54" t="s">
        <v>56</v>
      </c>
      <c r="C53" s="56">
        <v>50</v>
      </c>
      <c r="D53" s="60" t="s">
        <v>57</v>
      </c>
      <c r="E53" s="54" t="s">
        <v>18</v>
      </c>
      <c r="F53" s="54" t="s">
        <v>19</v>
      </c>
      <c r="G53" s="54" t="s">
        <v>39</v>
      </c>
      <c r="H53" s="55">
        <v>46250</v>
      </c>
      <c r="I53" s="56">
        <v>5</v>
      </c>
      <c r="J53" s="55">
        <f t="shared" si="1"/>
        <v>46255</v>
      </c>
      <c r="K53" s="54" t="s">
        <v>70</v>
      </c>
      <c r="L53" s="54" t="s">
        <v>22</v>
      </c>
      <c r="M53" s="54" t="s">
        <v>139</v>
      </c>
    </row>
    <row r="54" spans="1:13" ht="29" x14ac:dyDescent="0.35">
      <c r="A54" s="54" t="s">
        <v>92</v>
      </c>
      <c r="B54" s="54" t="s">
        <v>107</v>
      </c>
      <c r="C54" s="56">
        <v>51</v>
      </c>
      <c r="D54" s="60" t="s">
        <v>140</v>
      </c>
      <c r="E54" s="54" t="s">
        <v>18</v>
      </c>
      <c r="F54" s="54" t="s">
        <v>19</v>
      </c>
      <c r="G54" s="54" t="s">
        <v>39</v>
      </c>
      <c r="H54" s="55">
        <v>46261</v>
      </c>
      <c r="I54" s="56">
        <v>14</v>
      </c>
      <c r="J54" s="55">
        <f t="shared" si="1"/>
        <v>46275</v>
      </c>
      <c r="K54" s="54" t="s">
        <v>70</v>
      </c>
      <c r="L54" s="54" t="s">
        <v>36</v>
      </c>
      <c r="M54" s="54" t="s">
        <v>141</v>
      </c>
    </row>
    <row r="55" spans="1:13" x14ac:dyDescent="0.35">
      <c r="A55" s="54" t="s">
        <v>142</v>
      </c>
      <c r="B55" s="54" t="s">
        <v>143</v>
      </c>
      <c r="C55" s="56">
        <v>52</v>
      </c>
      <c r="D55" s="60" t="s">
        <v>144</v>
      </c>
      <c r="E55" s="54" t="s">
        <v>145</v>
      </c>
      <c r="F55" s="54" t="s">
        <v>19</v>
      </c>
      <c r="G55" s="54" t="s">
        <v>90</v>
      </c>
      <c r="H55" s="55">
        <v>46264</v>
      </c>
      <c r="I55" s="56">
        <v>14</v>
      </c>
      <c r="J55" s="55">
        <f t="shared" si="1"/>
        <v>46278</v>
      </c>
      <c r="K55" s="54" t="s">
        <v>70</v>
      </c>
      <c r="L55" s="54" t="s">
        <v>90</v>
      </c>
      <c r="M55" s="54" t="s">
        <v>146</v>
      </c>
    </row>
    <row r="56" spans="1:13" x14ac:dyDescent="0.35">
      <c r="A56" s="54" t="s">
        <v>142</v>
      </c>
      <c r="B56" s="54" t="s">
        <v>143</v>
      </c>
      <c r="C56" s="56">
        <v>53</v>
      </c>
      <c r="D56" s="60" t="s">
        <v>147</v>
      </c>
      <c r="E56" s="54" t="s">
        <v>145</v>
      </c>
      <c r="F56" s="54" t="s">
        <v>19</v>
      </c>
      <c r="G56" s="54" t="s">
        <v>90</v>
      </c>
      <c r="H56" s="55">
        <v>46264</v>
      </c>
      <c r="I56" s="56">
        <v>14</v>
      </c>
      <c r="J56" s="55">
        <f t="shared" si="1"/>
        <v>46278</v>
      </c>
      <c r="K56" s="54" t="s">
        <v>70</v>
      </c>
      <c r="L56" s="54" t="s">
        <v>90</v>
      </c>
      <c r="M56" s="54" t="s">
        <v>146</v>
      </c>
    </row>
    <row r="57" spans="1:13" x14ac:dyDescent="0.35">
      <c r="A57" s="54" t="s">
        <v>142</v>
      </c>
      <c r="B57" s="54" t="s">
        <v>143</v>
      </c>
      <c r="C57" s="56">
        <v>54</v>
      </c>
      <c r="D57" s="60" t="s">
        <v>148</v>
      </c>
      <c r="E57" s="54" t="s">
        <v>145</v>
      </c>
      <c r="F57" s="54" t="s">
        <v>19</v>
      </c>
      <c r="G57" s="54" t="s">
        <v>90</v>
      </c>
      <c r="H57" s="55">
        <v>46264</v>
      </c>
      <c r="I57" s="56">
        <v>14</v>
      </c>
      <c r="J57" s="55">
        <f t="shared" si="1"/>
        <v>46278</v>
      </c>
      <c r="K57" s="54" t="s">
        <v>70</v>
      </c>
      <c r="L57" s="54" t="s">
        <v>90</v>
      </c>
      <c r="M57" s="54" t="s">
        <v>146</v>
      </c>
    </row>
    <row r="58" spans="1:13" x14ac:dyDescent="0.35">
      <c r="A58" s="54" t="s">
        <v>142</v>
      </c>
      <c r="B58" s="54" t="s">
        <v>143</v>
      </c>
      <c r="C58" s="56">
        <v>55</v>
      </c>
      <c r="D58" s="60" t="s">
        <v>149</v>
      </c>
      <c r="E58" s="54" t="s">
        <v>145</v>
      </c>
      <c r="F58" s="54" t="s">
        <v>19</v>
      </c>
      <c r="G58" s="54" t="s">
        <v>90</v>
      </c>
      <c r="H58" s="55">
        <v>46264</v>
      </c>
      <c r="I58" s="56">
        <v>14</v>
      </c>
      <c r="J58" s="55">
        <f t="shared" si="1"/>
        <v>46278</v>
      </c>
      <c r="K58" s="54" t="s">
        <v>70</v>
      </c>
      <c r="L58" s="54" t="s">
        <v>90</v>
      </c>
      <c r="M58" s="54" t="s">
        <v>146</v>
      </c>
    </row>
    <row r="59" spans="1:13" x14ac:dyDescent="0.35">
      <c r="A59" s="54" t="s">
        <v>142</v>
      </c>
      <c r="B59" s="54" t="s">
        <v>143</v>
      </c>
      <c r="C59" s="56">
        <v>56</v>
      </c>
      <c r="D59" s="60" t="s">
        <v>150</v>
      </c>
      <c r="E59" s="54" t="s">
        <v>145</v>
      </c>
      <c r="F59" s="54" t="s">
        <v>19</v>
      </c>
      <c r="G59" s="54" t="s">
        <v>90</v>
      </c>
      <c r="H59" s="55">
        <v>46264</v>
      </c>
      <c r="I59" s="56">
        <v>14</v>
      </c>
      <c r="J59" s="55">
        <f t="shared" si="1"/>
        <v>46278</v>
      </c>
      <c r="K59" s="54" t="s">
        <v>70</v>
      </c>
      <c r="L59" s="54" t="s">
        <v>90</v>
      </c>
      <c r="M59" s="54" t="s">
        <v>146</v>
      </c>
    </row>
    <row r="60" spans="1:13" x14ac:dyDescent="0.35">
      <c r="A60" s="54" t="s">
        <v>142</v>
      </c>
      <c r="B60" s="54" t="s">
        <v>143</v>
      </c>
      <c r="C60" s="56">
        <v>57</v>
      </c>
      <c r="D60" s="60" t="s">
        <v>151</v>
      </c>
      <c r="E60" s="54" t="s">
        <v>145</v>
      </c>
      <c r="F60" s="54" t="s">
        <v>19</v>
      </c>
      <c r="G60" s="54" t="s">
        <v>90</v>
      </c>
      <c r="H60" s="55">
        <v>46264</v>
      </c>
      <c r="I60" s="56">
        <v>14</v>
      </c>
      <c r="J60" s="55">
        <f t="shared" si="1"/>
        <v>46278</v>
      </c>
      <c r="K60" s="54" t="s">
        <v>70</v>
      </c>
      <c r="L60" s="54" t="s">
        <v>90</v>
      </c>
      <c r="M60" s="54" t="s">
        <v>146</v>
      </c>
    </row>
    <row r="61" spans="1:13" x14ac:dyDescent="0.35">
      <c r="A61" s="54" t="s">
        <v>142</v>
      </c>
      <c r="B61" s="54" t="s">
        <v>143</v>
      </c>
      <c r="C61" s="56">
        <v>58</v>
      </c>
      <c r="D61" s="60" t="s">
        <v>152</v>
      </c>
      <c r="E61" s="54" t="s">
        <v>145</v>
      </c>
      <c r="F61" s="54" t="s">
        <v>19</v>
      </c>
      <c r="G61" s="54" t="s">
        <v>90</v>
      </c>
      <c r="H61" s="55">
        <v>46264</v>
      </c>
      <c r="I61" s="56">
        <v>14</v>
      </c>
      <c r="J61" s="55">
        <f t="shared" si="1"/>
        <v>46278</v>
      </c>
      <c r="K61" s="54" t="s">
        <v>70</v>
      </c>
      <c r="L61" s="54" t="s">
        <v>90</v>
      </c>
      <c r="M61" s="54" t="s">
        <v>146</v>
      </c>
    </row>
    <row r="62" spans="1:13" x14ac:dyDescent="0.35">
      <c r="A62" s="54" t="s">
        <v>142</v>
      </c>
      <c r="B62" s="54" t="s">
        <v>143</v>
      </c>
      <c r="C62" s="56">
        <v>59</v>
      </c>
      <c r="D62" s="60" t="s">
        <v>153</v>
      </c>
      <c r="E62" s="54" t="s">
        <v>145</v>
      </c>
      <c r="F62" s="54" t="s">
        <v>19</v>
      </c>
      <c r="G62" s="54" t="s">
        <v>90</v>
      </c>
      <c r="H62" s="55">
        <v>46264</v>
      </c>
      <c r="I62" s="56">
        <v>14</v>
      </c>
      <c r="J62" s="55">
        <f t="shared" si="1"/>
        <v>46278</v>
      </c>
      <c r="K62" s="54" t="s">
        <v>70</v>
      </c>
      <c r="L62" s="54" t="s">
        <v>90</v>
      </c>
      <c r="M62" s="54" t="s">
        <v>146</v>
      </c>
    </row>
    <row r="63" spans="1:13" x14ac:dyDescent="0.35">
      <c r="A63" s="54" t="s">
        <v>142</v>
      </c>
      <c r="B63" s="54" t="s">
        <v>143</v>
      </c>
      <c r="C63" s="56">
        <v>60</v>
      </c>
      <c r="D63" s="60" t="s">
        <v>154</v>
      </c>
      <c r="E63" s="54" t="s">
        <v>145</v>
      </c>
      <c r="F63" s="54" t="s">
        <v>19</v>
      </c>
      <c r="G63" s="54" t="s">
        <v>90</v>
      </c>
      <c r="H63" s="55">
        <v>46264</v>
      </c>
      <c r="I63" s="56">
        <v>14</v>
      </c>
      <c r="J63" s="55">
        <f t="shared" si="1"/>
        <v>46278</v>
      </c>
      <c r="K63" s="54" t="s">
        <v>70</v>
      </c>
      <c r="L63" s="54" t="s">
        <v>90</v>
      </c>
      <c r="M63" s="54" t="s">
        <v>146</v>
      </c>
    </row>
    <row r="64" spans="1:13" x14ac:dyDescent="0.35">
      <c r="A64" s="54" t="s">
        <v>142</v>
      </c>
      <c r="B64" s="54" t="s">
        <v>143</v>
      </c>
      <c r="C64" s="56">
        <v>61</v>
      </c>
      <c r="D64" s="60" t="s">
        <v>155</v>
      </c>
      <c r="E64" s="54" t="s">
        <v>145</v>
      </c>
      <c r="F64" s="54" t="s">
        <v>19</v>
      </c>
      <c r="G64" s="54" t="s">
        <v>90</v>
      </c>
      <c r="H64" s="55">
        <v>46264</v>
      </c>
      <c r="I64" s="56">
        <v>14</v>
      </c>
      <c r="J64" s="55">
        <f t="shared" si="1"/>
        <v>46278</v>
      </c>
      <c r="K64" s="54" t="s">
        <v>70</v>
      </c>
      <c r="L64" s="54" t="s">
        <v>90</v>
      </c>
      <c r="M64" s="54" t="s">
        <v>146</v>
      </c>
    </row>
    <row r="65" spans="1:13" x14ac:dyDescent="0.35">
      <c r="A65" s="54" t="s">
        <v>142</v>
      </c>
      <c r="B65" s="54" t="s">
        <v>143</v>
      </c>
      <c r="C65" s="56">
        <v>62</v>
      </c>
      <c r="D65" s="60" t="s">
        <v>156</v>
      </c>
      <c r="E65" s="54" t="s">
        <v>145</v>
      </c>
      <c r="F65" s="54" t="s">
        <v>19</v>
      </c>
      <c r="G65" s="54" t="s">
        <v>90</v>
      </c>
      <c r="H65" s="55">
        <v>46264</v>
      </c>
      <c r="I65" s="56">
        <v>14</v>
      </c>
      <c r="J65" s="55">
        <f t="shared" si="1"/>
        <v>46278</v>
      </c>
      <c r="K65" s="54" t="s">
        <v>70</v>
      </c>
      <c r="L65" s="54" t="s">
        <v>90</v>
      </c>
      <c r="M65" s="54" t="s">
        <v>146</v>
      </c>
    </row>
    <row r="66" spans="1:13" ht="29" customHeight="1" x14ac:dyDescent="0.35">
      <c r="A66" s="54" t="s">
        <v>92</v>
      </c>
      <c r="B66" s="54" t="s">
        <v>157</v>
      </c>
      <c r="C66" s="56">
        <v>63</v>
      </c>
      <c r="D66" s="60" t="s">
        <v>158</v>
      </c>
      <c r="E66" s="54" t="s">
        <v>18</v>
      </c>
      <c r="F66" s="54" t="s">
        <v>19</v>
      </c>
      <c r="G66" s="54" t="s">
        <v>39</v>
      </c>
      <c r="H66" s="55">
        <v>46264</v>
      </c>
      <c r="I66" s="56">
        <v>14</v>
      </c>
      <c r="J66" s="55">
        <f t="shared" si="1"/>
        <v>46278</v>
      </c>
      <c r="K66" s="54" t="s">
        <v>77</v>
      </c>
      <c r="L66" s="54" t="s">
        <v>36</v>
      </c>
      <c r="M66" s="54" t="s">
        <v>159</v>
      </c>
    </row>
    <row r="67" spans="1:13" ht="29" x14ac:dyDescent="0.35">
      <c r="A67" s="54" t="s">
        <v>92</v>
      </c>
      <c r="B67" s="54" t="s">
        <v>107</v>
      </c>
      <c r="C67" s="56">
        <v>64</v>
      </c>
      <c r="D67" s="60" t="s">
        <v>160</v>
      </c>
      <c r="E67" s="54" t="s">
        <v>18</v>
      </c>
      <c r="F67" s="54" t="s">
        <v>19</v>
      </c>
      <c r="G67" s="54" t="s">
        <v>39</v>
      </c>
      <c r="H67" s="55">
        <v>46264</v>
      </c>
      <c r="I67" s="56">
        <v>14</v>
      </c>
      <c r="J67" s="55">
        <f t="shared" si="1"/>
        <v>46278</v>
      </c>
      <c r="K67" s="54" t="s">
        <v>70</v>
      </c>
      <c r="L67" s="54" t="s">
        <v>36</v>
      </c>
      <c r="M67" s="54" t="s">
        <v>161</v>
      </c>
    </row>
    <row r="68" spans="1:13" ht="43.5" customHeight="1" x14ac:dyDescent="0.35">
      <c r="A68" s="54" t="s">
        <v>92</v>
      </c>
      <c r="B68" s="54" t="s">
        <v>107</v>
      </c>
      <c r="C68" s="56">
        <v>65</v>
      </c>
      <c r="D68" s="60" t="s">
        <v>162</v>
      </c>
      <c r="E68" s="54" t="s">
        <v>18</v>
      </c>
      <c r="F68" s="54" t="s">
        <v>19</v>
      </c>
      <c r="G68" s="54" t="s">
        <v>27</v>
      </c>
      <c r="H68" s="55">
        <v>46264</v>
      </c>
      <c r="I68" s="56">
        <v>14</v>
      </c>
      <c r="J68" s="55">
        <f t="shared" si="1"/>
        <v>46278</v>
      </c>
      <c r="K68" s="54" t="s">
        <v>70</v>
      </c>
      <c r="L68" s="54" t="s">
        <v>22</v>
      </c>
      <c r="M68" s="54" t="s">
        <v>163</v>
      </c>
    </row>
    <row r="69" spans="1:13" ht="29" x14ac:dyDescent="0.35">
      <c r="A69" s="54" t="s">
        <v>92</v>
      </c>
      <c r="B69" s="54" t="s">
        <v>107</v>
      </c>
      <c r="C69" s="56">
        <v>66</v>
      </c>
      <c r="D69" s="60" t="s">
        <v>164</v>
      </c>
      <c r="E69" s="54" t="s">
        <v>18</v>
      </c>
      <c r="F69" s="54" t="s">
        <v>19</v>
      </c>
      <c r="G69" s="54" t="s">
        <v>27</v>
      </c>
      <c r="H69" s="55">
        <v>46264</v>
      </c>
      <c r="I69" s="56">
        <v>14</v>
      </c>
      <c r="J69" s="55">
        <f t="shared" ref="J69:J100" si="2">H69+I69</f>
        <v>46278</v>
      </c>
      <c r="K69" s="54" t="s">
        <v>70</v>
      </c>
      <c r="L69" s="54" t="s">
        <v>22</v>
      </c>
      <c r="M69" s="54"/>
    </row>
    <row r="70" spans="1:13" ht="29" customHeight="1" x14ac:dyDescent="0.35">
      <c r="A70" s="54" t="s">
        <v>46</v>
      </c>
      <c r="B70" s="54" t="s">
        <v>50</v>
      </c>
      <c r="C70" s="56">
        <v>67</v>
      </c>
      <c r="D70" s="60" t="s">
        <v>165</v>
      </c>
      <c r="E70" s="54" t="s">
        <v>18</v>
      </c>
      <c r="F70" s="54" t="s">
        <v>166</v>
      </c>
      <c r="G70" s="54" t="s">
        <v>39</v>
      </c>
      <c r="H70" s="55">
        <v>46243</v>
      </c>
      <c r="I70" s="56">
        <v>14</v>
      </c>
      <c r="J70" s="55">
        <f t="shared" si="2"/>
        <v>46257</v>
      </c>
      <c r="K70" s="54" t="s">
        <v>70</v>
      </c>
      <c r="L70" s="54" t="s">
        <v>36</v>
      </c>
      <c r="M70" s="54"/>
    </row>
    <row r="71" spans="1:13" ht="29" customHeight="1" x14ac:dyDescent="0.35">
      <c r="A71" s="54" t="s">
        <v>142</v>
      </c>
      <c r="B71" s="54" t="s">
        <v>167</v>
      </c>
      <c r="C71" s="56">
        <v>68</v>
      </c>
      <c r="D71" s="60" t="s">
        <v>168</v>
      </c>
      <c r="E71" s="54" t="s">
        <v>169</v>
      </c>
      <c r="F71" s="54" t="s">
        <v>19</v>
      </c>
      <c r="G71" s="54" t="s">
        <v>20</v>
      </c>
      <c r="H71" s="55">
        <v>46278</v>
      </c>
      <c r="I71" s="56">
        <v>7</v>
      </c>
      <c r="J71" s="55">
        <f t="shared" si="2"/>
        <v>46285</v>
      </c>
      <c r="K71" s="54" t="s">
        <v>70</v>
      </c>
      <c r="L71" s="54" t="s">
        <v>22</v>
      </c>
      <c r="M71" s="54" t="s">
        <v>170</v>
      </c>
    </row>
    <row r="72" spans="1:13" x14ac:dyDescent="0.35">
      <c r="A72" s="54" t="s">
        <v>15</v>
      </c>
      <c r="B72" s="54" t="s">
        <v>171</v>
      </c>
      <c r="C72" s="56">
        <v>69</v>
      </c>
      <c r="D72" s="60" t="s">
        <v>172</v>
      </c>
      <c r="E72" s="54" t="s">
        <v>169</v>
      </c>
      <c r="F72" s="54" t="s">
        <v>19</v>
      </c>
      <c r="G72" s="54" t="s">
        <v>20</v>
      </c>
      <c r="H72" s="55">
        <v>46278</v>
      </c>
      <c r="I72" s="56">
        <v>7</v>
      </c>
      <c r="J72" s="55">
        <f t="shared" si="2"/>
        <v>46285</v>
      </c>
      <c r="K72" s="54" t="s">
        <v>70</v>
      </c>
      <c r="L72" s="54" t="s">
        <v>22</v>
      </c>
      <c r="M72" s="54"/>
    </row>
    <row r="73" spans="1:13" ht="29" customHeight="1" x14ac:dyDescent="0.35">
      <c r="A73" s="54" t="s">
        <v>15</v>
      </c>
      <c r="B73" s="54" t="s">
        <v>171</v>
      </c>
      <c r="C73" s="56">
        <v>70</v>
      </c>
      <c r="D73" s="60" t="s">
        <v>173</v>
      </c>
      <c r="E73" s="54" t="s">
        <v>169</v>
      </c>
      <c r="F73" s="54" t="s">
        <v>19</v>
      </c>
      <c r="G73" s="54" t="s">
        <v>20</v>
      </c>
      <c r="H73" s="55">
        <v>46278</v>
      </c>
      <c r="I73" s="56">
        <v>7</v>
      </c>
      <c r="J73" s="55">
        <f t="shared" si="2"/>
        <v>46285</v>
      </c>
      <c r="K73" s="54" t="s">
        <v>70</v>
      </c>
      <c r="L73" s="54" t="s">
        <v>22</v>
      </c>
      <c r="M73" s="54"/>
    </row>
    <row r="74" spans="1:13" x14ac:dyDescent="0.35">
      <c r="A74" s="54" t="s">
        <v>15</v>
      </c>
      <c r="B74" s="54" t="s">
        <v>171</v>
      </c>
      <c r="C74" s="56">
        <v>71</v>
      </c>
      <c r="D74" s="60" t="s">
        <v>174</v>
      </c>
      <c r="E74" s="54" t="s">
        <v>169</v>
      </c>
      <c r="F74" s="54" t="s">
        <v>19</v>
      </c>
      <c r="G74" s="54" t="s">
        <v>20</v>
      </c>
      <c r="H74" s="55">
        <v>46278</v>
      </c>
      <c r="I74" s="56">
        <v>7</v>
      </c>
      <c r="J74" s="55">
        <f t="shared" si="2"/>
        <v>46285</v>
      </c>
      <c r="K74" s="54" t="s">
        <v>70</v>
      </c>
      <c r="L74" s="54" t="s">
        <v>22</v>
      </c>
      <c r="M74" s="54"/>
    </row>
    <row r="75" spans="1:13" ht="29" customHeight="1" x14ac:dyDescent="0.35">
      <c r="A75" s="54" t="s">
        <v>15</v>
      </c>
      <c r="B75" s="54" t="s">
        <v>171</v>
      </c>
      <c r="C75" s="56">
        <v>72</v>
      </c>
      <c r="D75" s="60" t="s">
        <v>175</v>
      </c>
      <c r="E75" s="54" t="s">
        <v>169</v>
      </c>
      <c r="F75" s="54" t="s">
        <v>19</v>
      </c>
      <c r="G75" s="54" t="s">
        <v>20</v>
      </c>
      <c r="H75" s="55">
        <v>46278</v>
      </c>
      <c r="I75" s="56">
        <v>7</v>
      </c>
      <c r="J75" s="55">
        <f t="shared" si="2"/>
        <v>46285</v>
      </c>
      <c r="K75" s="54" t="s">
        <v>70</v>
      </c>
      <c r="L75" s="54" t="s">
        <v>22</v>
      </c>
      <c r="M75" s="54" t="s">
        <v>176</v>
      </c>
    </row>
    <row r="76" spans="1:13" ht="29" customHeight="1" x14ac:dyDescent="0.35">
      <c r="A76" s="54" t="s">
        <v>15</v>
      </c>
      <c r="B76" s="54" t="s">
        <v>171</v>
      </c>
      <c r="C76" s="56">
        <v>73</v>
      </c>
      <c r="D76" s="60" t="s">
        <v>177</v>
      </c>
      <c r="E76" s="54" t="s">
        <v>169</v>
      </c>
      <c r="F76" s="54" t="s">
        <v>19</v>
      </c>
      <c r="G76" s="54" t="s">
        <v>20</v>
      </c>
      <c r="H76" s="55">
        <v>46278</v>
      </c>
      <c r="I76" s="56">
        <v>7</v>
      </c>
      <c r="J76" s="55">
        <f t="shared" si="2"/>
        <v>46285</v>
      </c>
      <c r="K76" s="54" t="s">
        <v>70</v>
      </c>
      <c r="L76" s="54" t="s">
        <v>22</v>
      </c>
      <c r="M76" s="54"/>
    </row>
    <row r="77" spans="1:13" ht="29" customHeight="1" x14ac:dyDescent="0.35">
      <c r="A77" s="54" t="s">
        <v>15</v>
      </c>
      <c r="B77" s="54" t="s">
        <v>171</v>
      </c>
      <c r="C77" s="56">
        <v>74</v>
      </c>
      <c r="D77" s="60" t="s">
        <v>178</v>
      </c>
      <c r="E77" s="54" t="s">
        <v>169</v>
      </c>
      <c r="F77" s="54" t="s">
        <v>19</v>
      </c>
      <c r="G77" s="54" t="s">
        <v>20</v>
      </c>
      <c r="H77" s="55">
        <v>46278</v>
      </c>
      <c r="I77" s="56">
        <v>7</v>
      </c>
      <c r="J77" s="55">
        <f t="shared" si="2"/>
        <v>46285</v>
      </c>
      <c r="K77" s="54" t="s">
        <v>70</v>
      </c>
      <c r="L77" s="54" t="s">
        <v>22</v>
      </c>
      <c r="M77" s="54"/>
    </row>
    <row r="78" spans="1:13" ht="43.5" customHeight="1" x14ac:dyDescent="0.35">
      <c r="A78" s="54" t="s">
        <v>15</v>
      </c>
      <c r="B78" s="54" t="s">
        <v>171</v>
      </c>
      <c r="C78" s="56">
        <v>75</v>
      </c>
      <c r="D78" s="60" t="s">
        <v>179</v>
      </c>
      <c r="E78" s="54" t="s">
        <v>169</v>
      </c>
      <c r="F78" s="54" t="s">
        <v>19</v>
      </c>
      <c r="G78" s="54" t="s">
        <v>20</v>
      </c>
      <c r="H78" s="55">
        <v>46278</v>
      </c>
      <c r="I78" s="56">
        <v>7</v>
      </c>
      <c r="J78" s="55">
        <f t="shared" si="2"/>
        <v>46285</v>
      </c>
      <c r="K78" s="54" t="s">
        <v>70</v>
      </c>
      <c r="L78" s="54" t="s">
        <v>22</v>
      </c>
      <c r="M78" s="54" t="s">
        <v>180</v>
      </c>
    </row>
    <row r="79" spans="1:13" ht="29" customHeight="1" x14ac:dyDescent="0.35">
      <c r="A79" s="54" t="s">
        <v>15</v>
      </c>
      <c r="B79" s="54" t="s">
        <v>171</v>
      </c>
      <c r="C79" s="56">
        <v>76</v>
      </c>
      <c r="D79" s="60" t="s">
        <v>181</v>
      </c>
      <c r="E79" s="54" t="s">
        <v>169</v>
      </c>
      <c r="F79" s="54" t="s">
        <v>19</v>
      </c>
      <c r="G79" s="54" t="s">
        <v>20</v>
      </c>
      <c r="H79" s="55">
        <v>46278</v>
      </c>
      <c r="I79" s="56">
        <v>7</v>
      </c>
      <c r="J79" s="55">
        <f t="shared" si="2"/>
        <v>46285</v>
      </c>
      <c r="K79" s="54" t="s">
        <v>70</v>
      </c>
      <c r="L79" s="54" t="s">
        <v>22</v>
      </c>
      <c r="M79" s="54" t="s">
        <v>182</v>
      </c>
    </row>
    <row r="80" spans="1:13" ht="29" customHeight="1" x14ac:dyDescent="0.35">
      <c r="A80" s="54" t="s">
        <v>15</v>
      </c>
      <c r="B80" s="54" t="s">
        <v>171</v>
      </c>
      <c r="C80" s="56">
        <v>77</v>
      </c>
      <c r="D80" s="60" t="s">
        <v>183</v>
      </c>
      <c r="E80" s="54" t="s">
        <v>169</v>
      </c>
      <c r="F80" s="54" t="s">
        <v>19</v>
      </c>
      <c r="G80" s="54" t="s">
        <v>20</v>
      </c>
      <c r="H80" s="55">
        <v>46278</v>
      </c>
      <c r="I80" s="56">
        <v>7</v>
      </c>
      <c r="J80" s="55">
        <f t="shared" si="2"/>
        <v>46285</v>
      </c>
      <c r="K80" s="54" t="s">
        <v>70</v>
      </c>
      <c r="L80" s="54" t="s">
        <v>22</v>
      </c>
      <c r="M80" s="54" t="s">
        <v>184</v>
      </c>
    </row>
    <row r="81" spans="1:13" x14ac:dyDescent="0.35">
      <c r="A81" s="54" t="s">
        <v>185</v>
      </c>
      <c r="B81" s="54" t="s">
        <v>186</v>
      </c>
      <c r="C81" s="56">
        <v>78</v>
      </c>
      <c r="D81" s="60" t="s">
        <v>187</v>
      </c>
      <c r="E81" s="54" t="s">
        <v>18</v>
      </c>
      <c r="F81" s="54" t="s">
        <v>19</v>
      </c>
      <c r="G81" s="54" t="s">
        <v>20</v>
      </c>
      <c r="H81" s="55">
        <v>46282</v>
      </c>
      <c r="I81" s="56">
        <v>1</v>
      </c>
      <c r="J81" s="55">
        <f t="shared" si="2"/>
        <v>46283</v>
      </c>
      <c r="K81" s="54" t="s">
        <v>70</v>
      </c>
      <c r="L81" s="54" t="s">
        <v>90</v>
      </c>
      <c r="M81" s="54" t="s">
        <v>188</v>
      </c>
    </row>
    <row r="82" spans="1:13" x14ac:dyDescent="0.35">
      <c r="A82" s="54" t="s">
        <v>185</v>
      </c>
      <c r="B82" s="54" t="s">
        <v>186</v>
      </c>
      <c r="C82" s="56">
        <v>79</v>
      </c>
      <c r="D82" s="60" t="s">
        <v>189</v>
      </c>
      <c r="E82" s="54" t="s">
        <v>18</v>
      </c>
      <c r="F82" s="54" t="s">
        <v>19</v>
      </c>
      <c r="G82" s="54" t="s">
        <v>20</v>
      </c>
      <c r="H82" s="55">
        <v>46282</v>
      </c>
      <c r="I82" s="56">
        <v>1</v>
      </c>
      <c r="J82" s="55">
        <f t="shared" si="2"/>
        <v>46283</v>
      </c>
      <c r="K82" s="54" t="s">
        <v>70</v>
      </c>
      <c r="L82" s="54" t="s">
        <v>90</v>
      </c>
      <c r="M82" s="54"/>
    </row>
    <row r="83" spans="1:13" ht="29" customHeight="1" x14ac:dyDescent="0.35">
      <c r="A83" s="54" t="s">
        <v>185</v>
      </c>
      <c r="B83" s="54" t="s">
        <v>186</v>
      </c>
      <c r="C83" s="56">
        <v>80</v>
      </c>
      <c r="D83" s="60" t="s">
        <v>190</v>
      </c>
      <c r="E83" s="54" t="s">
        <v>18</v>
      </c>
      <c r="F83" s="54" t="s">
        <v>19</v>
      </c>
      <c r="G83" s="54" t="s">
        <v>27</v>
      </c>
      <c r="H83" s="55">
        <v>46282</v>
      </c>
      <c r="I83" s="56">
        <v>1</v>
      </c>
      <c r="J83" s="55">
        <f t="shared" si="2"/>
        <v>46283</v>
      </c>
      <c r="K83" s="54" t="s">
        <v>70</v>
      </c>
      <c r="L83" s="54" t="s">
        <v>90</v>
      </c>
      <c r="M83" s="54"/>
    </row>
    <row r="84" spans="1:13" x14ac:dyDescent="0.35">
      <c r="A84" s="54" t="s">
        <v>185</v>
      </c>
      <c r="B84" s="54" t="s">
        <v>186</v>
      </c>
      <c r="C84" s="56">
        <v>81</v>
      </c>
      <c r="D84" s="60" t="s">
        <v>191</v>
      </c>
      <c r="E84" s="54" t="s">
        <v>18</v>
      </c>
      <c r="F84" s="54" t="s">
        <v>19</v>
      </c>
      <c r="G84" s="54" t="s">
        <v>27</v>
      </c>
      <c r="H84" s="55">
        <v>46282</v>
      </c>
      <c r="I84" s="56">
        <v>1</v>
      </c>
      <c r="J84" s="55">
        <f t="shared" si="2"/>
        <v>46283</v>
      </c>
      <c r="K84" s="54" t="s">
        <v>70</v>
      </c>
      <c r="L84" s="54" t="s">
        <v>90</v>
      </c>
      <c r="M84" s="54"/>
    </row>
    <row r="85" spans="1:13" x14ac:dyDescent="0.35">
      <c r="A85" s="54" t="s">
        <v>185</v>
      </c>
      <c r="B85" s="54" t="s">
        <v>186</v>
      </c>
      <c r="C85" s="56">
        <v>82</v>
      </c>
      <c r="D85" s="60" t="s">
        <v>192</v>
      </c>
      <c r="E85" s="54" t="s">
        <v>18</v>
      </c>
      <c r="F85" s="54" t="s">
        <v>19</v>
      </c>
      <c r="G85" s="54" t="s">
        <v>27</v>
      </c>
      <c r="H85" s="55">
        <v>46282</v>
      </c>
      <c r="I85" s="56">
        <v>1</v>
      </c>
      <c r="J85" s="55">
        <f t="shared" si="2"/>
        <v>46283</v>
      </c>
      <c r="K85" s="54" t="s">
        <v>70</v>
      </c>
      <c r="L85" s="54" t="s">
        <v>90</v>
      </c>
      <c r="M85" s="54"/>
    </row>
    <row r="86" spans="1:13" ht="29" customHeight="1" x14ac:dyDescent="0.35">
      <c r="A86" s="54" t="s">
        <v>185</v>
      </c>
      <c r="B86" s="54" t="s">
        <v>186</v>
      </c>
      <c r="C86" s="56">
        <v>83</v>
      </c>
      <c r="D86" s="60" t="s">
        <v>193</v>
      </c>
      <c r="E86" s="54" t="s">
        <v>18</v>
      </c>
      <c r="F86" s="54" t="s">
        <v>194</v>
      </c>
      <c r="G86" s="54" t="s">
        <v>27</v>
      </c>
      <c r="H86" s="55">
        <v>46282</v>
      </c>
      <c r="I86" s="56">
        <v>1</v>
      </c>
      <c r="J86" s="55">
        <f t="shared" si="2"/>
        <v>46283</v>
      </c>
      <c r="K86" s="54" t="s">
        <v>70</v>
      </c>
      <c r="L86" s="54" t="s">
        <v>90</v>
      </c>
      <c r="M86" s="54" t="s">
        <v>195</v>
      </c>
    </row>
    <row r="87" spans="1:13" ht="29" customHeight="1" x14ac:dyDescent="0.35">
      <c r="A87" s="54" t="s">
        <v>185</v>
      </c>
      <c r="B87" s="54" t="s">
        <v>186</v>
      </c>
      <c r="C87" s="56">
        <v>84</v>
      </c>
      <c r="D87" s="60" t="s">
        <v>196</v>
      </c>
      <c r="E87" s="54" t="s">
        <v>18</v>
      </c>
      <c r="F87" s="54" t="s">
        <v>194</v>
      </c>
      <c r="G87" s="54" t="s">
        <v>27</v>
      </c>
      <c r="H87" s="55">
        <v>46282</v>
      </c>
      <c r="I87" s="56">
        <v>1</v>
      </c>
      <c r="J87" s="55">
        <f t="shared" si="2"/>
        <v>46283</v>
      </c>
      <c r="K87" s="54" t="s">
        <v>70</v>
      </c>
      <c r="L87" s="54" t="s">
        <v>90</v>
      </c>
      <c r="M87" s="54" t="s">
        <v>197</v>
      </c>
    </row>
    <row r="88" spans="1:13" ht="43.5" customHeight="1" x14ac:dyDescent="0.35">
      <c r="A88" s="54" t="s">
        <v>185</v>
      </c>
      <c r="B88" s="54" t="s">
        <v>186</v>
      </c>
      <c r="C88" s="56">
        <v>85</v>
      </c>
      <c r="D88" s="60" t="s">
        <v>198</v>
      </c>
      <c r="E88" s="54" t="s">
        <v>18</v>
      </c>
      <c r="F88" s="54" t="s">
        <v>199</v>
      </c>
      <c r="G88" s="54" t="s">
        <v>27</v>
      </c>
      <c r="H88" s="55">
        <v>46282</v>
      </c>
      <c r="I88" s="56">
        <v>1</v>
      </c>
      <c r="J88" s="55">
        <f t="shared" si="2"/>
        <v>46283</v>
      </c>
      <c r="K88" s="54" t="s">
        <v>70</v>
      </c>
      <c r="L88" s="54" t="s">
        <v>90</v>
      </c>
      <c r="M88" s="54"/>
    </row>
    <row r="89" spans="1:13" ht="29" customHeight="1" x14ac:dyDescent="0.35">
      <c r="A89" s="54" t="s">
        <v>185</v>
      </c>
      <c r="B89" s="54" t="s">
        <v>186</v>
      </c>
      <c r="C89" s="56">
        <v>86</v>
      </c>
      <c r="D89" s="60" t="s">
        <v>200</v>
      </c>
      <c r="E89" s="54" t="s">
        <v>18</v>
      </c>
      <c r="F89" s="54" t="s">
        <v>166</v>
      </c>
      <c r="G89" s="54" t="s">
        <v>39</v>
      </c>
      <c r="H89" s="55">
        <v>46282</v>
      </c>
      <c r="I89" s="56">
        <v>1</v>
      </c>
      <c r="J89" s="55">
        <f t="shared" si="2"/>
        <v>46283</v>
      </c>
      <c r="K89" s="54" t="s">
        <v>70</v>
      </c>
      <c r="L89" s="54" t="s">
        <v>90</v>
      </c>
      <c r="M89" s="54"/>
    </row>
    <row r="90" spans="1:13" ht="43.5" customHeight="1" x14ac:dyDescent="0.35">
      <c r="A90" s="54" t="s">
        <v>185</v>
      </c>
      <c r="B90" s="54" t="s">
        <v>186</v>
      </c>
      <c r="C90" s="56">
        <v>87</v>
      </c>
      <c r="D90" s="60" t="s">
        <v>201</v>
      </c>
      <c r="E90" s="54" t="s">
        <v>18</v>
      </c>
      <c r="F90" s="54" t="s">
        <v>19</v>
      </c>
      <c r="G90" s="54" t="s">
        <v>39</v>
      </c>
      <c r="H90" s="55">
        <v>46282</v>
      </c>
      <c r="I90" s="56">
        <v>1</v>
      </c>
      <c r="J90" s="55">
        <f t="shared" si="2"/>
        <v>46283</v>
      </c>
      <c r="K90" s="54" t="s">
        <v>70</v>
      </c>
      <c r="L90" s="54" t="s">
        <v>90</v>
      </c>
      <c r="M90" s="54" t="s">
        <v>202</v>
      </c>
    </row>
    <row r="91" spans="1:13" ht="29" customHeight="1" x14ac:dyDescent="0.35">
      <c r="A91" s="54" t="s">
        <v>96</v>
      </c>
      <c r="B91" s="54" t="s">
        <v>203</v>
      </c>
      <c r="C91" s="56">
        <v>88</v>
      </c>
      <c r="D91" s="60" t="s">
        <v>204</v>
      </c>
      <c r="E91" s="54" t="s">
        <v>18</v>
      </c>
      <c r="F91" s="54" t="s">
        <v>19</v>
      </c>
      <c r="G91" s="54" t="s">
        <v>20</v>
      </c>
      <c r="H91" s="55">
        <v>46295</v>
      </c>
      <c r="I91" s="56">
        <v>30</v>
      </c>
      <c r="J91" s="55">
        <f t="shared" si="2"/>
        <v>46325</v>
      </c>
      <c r="K91" s="54" t="s">
        <v>70</v>
      </c>
      <c r="L91" s="54" t="s">
        <v>99</v>
      </c>
      <c r="M91" s="54" t="s">
        <v>205</v>
      </c>
    </row>
    <row r="92" spans="1:13" ht="29" customHeight="1" x14ac:dyDescent="0.35">
      <c r="A92" s="54" t="s">
        <v>96</v>
      </c>
      <c r="B92" s="54" t="s">
        <v>203</v>
      </c>
      <c r="C92" s="56">
        <v>89</v>
      </c>
      <c r="D92" s="60" t="s">
        <v>206</v>
      </c>
      <c r="E92" s="54" t="s">
        <v>18</v>
      </c>
      <c r="F92" s="54" t="s">
        <v>19</v>
      </c>
      <c r="G92" s="54" t="s">
        <v>20</v>
      </c>
      <c r="H92" s="55">
        <v>46295</v>
      </c>
      <c r="I92" s="56">
        <v>30</v>
      </c>
      <c r="J92" s="55">
        <f t="shared" si="2"/>
        <v>46325</v>
      </c>
      <c r="K92" s="54" t="s">
        <v>70</v>
      </c>
      <c r="L92" s="54" t="s">
        <v>99</v>
      </c>
      <c r="M92" s="54" t="s">
        <v>207</v>
      </c>
    </row>
    <row r="93" spans="1:13" ht="29" customHeight="1" x14ac:dyDescent="0.35">
      <c r="A93" s="54" t="s">
        <v>96</v>
      </c>
      <c r="B93" s="54" t="s">
        <v>203</v>
      </c>
      <c r="C93" s="56">
        <v>90</v>
      </c>
      <c r="D93" s="60" t="s">
        <v>208</v>
      </c>
      <c r="E93" s="54" t="s">
        <v>18</v>
      </c>
      <c r="F93" s="54" t="s">
        <v>19</v>
      </c>
      <c r="G93" s="54" t="s">
        <v>20</v>
      </c>
      <c r="H93" s="55">
        <v>46295</v>
      </c>
      <c r="I93" s="56">
        <v>30</v>
      </c>
      <c r="J93" s="55">
        <f t="shared" si="2"/>
        <v>46325</v>
      </c>
      <c r="K93" s="54" t="s">
        <v>70</v>
      </c>
      <c r="L93" s="54" t="s">
        <v>99</v>
      </c>
      <c r="M93" s="54" t="s">
        <v>209</v>
      </c>
    </row>
    <row r="94" spans="1:13" ht="29" customHeight="1" x14ac:dyDescent="0.35">
      <c r="A94" s="54" t="s">
        <v>96</v>
      </c>
      <c r="B94" s="54" t="s">
        <v>210</v>
      </c>
      <c r="C94" s="56">
        <v>91</v>
      </c>
      <c r="D94" s="60" t="s">
        <v>211</v>
      </c>
      <c r="E94" s="54" t="s">
        <v>18</v>
      </c>
      <c r="F94" s="54" t="s">
        <v>19</v>
      </c>
      <c r="G94" s="54" t="s">
        <v>27</v>
      </c>
      <c r="H94" s="55">
        <v>46295</v>
      </c>
      <c r="I94" s="56">
        <v>30</v>
      </c>
      <c r="J94" s="55">
        <f t="shared" si="2"/>
        <v>46325</v>
      </c>
      <c r="K94" s="54" t="s">
        <v>70</v>
      </c>
      <c r="L94" s="54" t="s">
        <v>99</v>
      </c>
      <c r="M94" s="54" t="s">
        <v>212</v>
      </c>
    </row>
    <row r="95" spans="1:13" ht="29" customHeight="1" x14ac:dyDescent="0.35">
      <c r="A95" s="54" t="s">
        <v>96</v>
      </c>
      <c r="B95" s="54" t="s">
        <v>213</v>
      </c>
      <c r="C95" s="56">
        <v>92</v>
      </c>
      <c r="D95" s="60" t="s">
        <v>214</v>
      </c>
      <c r="E95" s="54" t="s">
        <v>18</v>
      </c>
      <c r="F95" s="54" t="s">
        <v>19</v>
      </c>
      <c r="G95" s="54" t="s">
        <v>39</v>
      </c>
      <c r="H95" s="55">
        <v>46295</v>
      </c>
      <c r="I95" s="56">
        <v>30</v>
      </c>
      <c r="J95" s="55">
        <f t="shared" si="2"/>
        <v>46325</v>
      </c>
      <c r="K95" s="54" t="s">
        <v>70</v>
      </c>
      <c r="L95" s="54" t="s">
        <v>22</v>
      </c>
      <c r="M95" s="54" t="s">
        <v>215</v>
      </c>
    </row>
    <row r="96" spans="1:13" ht="29" customHeight="1" x14ac:dyDescent="0.35">
      <c r="A96" s="54" t="s">
        <v>216</v>
      </c>
      <c r="B96" s="54" t="s">
        <v>217</v>
      </c>
      <c r="C96" s="56">
        <v>93</v>
      </c>
      <c r="D96" s="60" t="s">
        <v>218</v>
      </c>
      <c r="E96" s="54" t="s">
        <v>18</v>
      </c>
      <c r="F96" s="54" t="s">
        <v>30</v>
      </c>
      <c r="G96" s="54" t="s">
        <v>27</v>
      </c>
      <c r="H96" s="55">
        <v>46295</v>
      </c>
      <c r="I96" s="56">
        <v>30</v>
      </c>
      <c r="J96" s="55">
        <f t="shared" si="2"/>
        <v>46325</v>
      </c>
      <c r="K96" s="54" t="s">
        <v>70</v>
      </c>
      <c r="L96" s="54" t="s">
        <v>22</v>
      </c>
      <c r="M96" s="54" t="s">
        <v>219</v>
      </c>
    </row>
    <row r="97" spans="1:13" ht="29" customHeight="1" x14ac:dyDescent="0.35">
      <c r="A97" s="54" t="s">
        <v>216</v>
      </c>
      <c r="B97" s="54" t="s">
        <v>217</v>
      </c>
      <c r="C97" s="56">
        <v>94</v>
      </c>
      <c r="D97" s="60" t="s">
        <v>220</v>
      </c>
      <c r="E97" s="54" t="s">
        <v>18</v>
      </c>
      <c r="F97" s="54" t="s">
        <v>30</v>
      </c>
      <c r="G97" s="54" t="s">
        <v>27</v>
      </c>
      <c r="H97" s="55">
        <v>46295</v>
      </c>
      <c r="I97" s="56">
        <v>30</v>
      </c>
      <c r="J97" s="55">
        <f t="shared" si="2"/>
        <v>46325</v>
      </c>
      <c r="K97" s="54" t="s">
        <v>70</v>
      </c>
      <c r="L97" s="54" t="s">
        <v>22</v>
      </c>
      <c r="M97" s="54" t="s">
        <v>221</v>
      </c>
    </row>
    <row r="98" spans="1:13" ht="29" customHeight="1" x14ac:dyDescent="0.35">
      <c r="A98" s="54" t="s">
        <v>216</v>
      </c>
      <c r="B98" s="54" t="s">
        <v>217</v>
      </c>
      <c r="C98" s="56">
        <v>95</v>
      </c>
      <c r="D98" s="60" t="s">
        <v>222</v>
      </c>
      <c r="E98" s="54" t="s">
        <v>18</v>
      </c>
      <c r="F98" s="54" t="s">
        <v>30</v>
      </c>
      <c r="G98" s="54" t="s">
        <v>39</v>
      </c>
      <c r="H98" s="55">
        <v>46295</v>
      </c>
      <c r="I98" s="56">
        <v>30</v>
      </c>
      <c r="J98" s="55">
        <f t="shared" si="2"/>
        <v>46325</v>
      </c>
      <c r="K98" s="54" t="s">
        <v>70</v>
      </c>
      <c r="L98" s="54" t="s">
        <v>36</v>
      </c>
      <c r="M98" s="54" t="s">
        <v>223</v>
      </c>
    </row>
    <row r="99" spans="1:13" x14ac:dyDescent="0.35">
      <c r="A99" s="54" t="s">
        <v>216</v>
      </c>
      <c r="B99" s="54" t="s">
        <v>56</v>
      </c>
      <c r="C99" s="56">
        <v>96</v>
      </c>
      <c r="D99" s="60" t="s">
        <v>224</v>
      </c>
      <c r="E99" s="54" t="s">
        <v>18</v>
      </c>
      <c r="F99" s="54" t="s">
        <v>19</v>
      </c>
      <c r="G99" s="54" t="s">
        <v>27</v>
      </c>
      <c r="H99" s="55">
        <v>46295</v>
      </c>
      <c r="I99" s="56">
        <v>30</v>
      </c>
      <c r="J99" s="55">
        <f t="shared" si="2"/>
        <v>46325</v>
      </c>
      <c r="K99" s="54" t="s">
        <v>70</v>
      </c>
      <c r="L99" s="54" t="s">
        <v>22</v>
      </c>
      <c r="M99" s="54" t="s">
        <v>225</v>
      </c>
    </row>
    <row r="100" spans="1:13" x14ac:dyDescent="0.35">
      <c r="A100" s="54" t="s">
        <v>216</v>
      </c>
      <c r="B100" s="54" t="s">
        <v>56</v>
      </c>
      <c r="C100" s="56">
        <v>97</v>
      </c>
      <c r="D100" s="60" t="s">
        <v>226</v>
      </c>
      <c r="E100" s="54" t="s">
        <v>18</v>
      </c>
      <c r="F100" s="54" t="s">
        <v>19</v>
      </c>
      <c r="G100" s="54" t="s">
        <v>27</v>
      </c>
      <c r="H100" s="55">
        <v>46295</v>
      </c>
      <c r="I100" s="56">
        <v>30</v>
      </c>
      <c r="J100" s="55">
        <f t="shared" si="2"/>
        <v>46325</v>
      </c>
      <c r="K100" s="54" t="s">
        <v>70</v>
      </c>
      <c r="L100" s="54" t="s">
        <v>22</v>
      </c>
      <c r="M100" s="54"/>
    </row>
    <row r="101" spans="1:13" x14ac:dyDescent="0.35">
      <c r="A101" s="54" t="s">
        <v>216</v>
      </c>
      <c r="B101" s="54" t="s">
        <v>56</v>
      </c>
      <c r="C101" s="56">
        <v>98</v>
      </c>
      <c r="D101" s="60" t="s">
        <v>227</v>
      </c>
      <c r="E101" s="54" t="s">
        <v>18</v>
      </c>
      <c r="F101" s="54" t="s">
        <v>19</v>
      </c>
      <c r="G101" s="54" t="s">
        <v>20</v>
      </c>
      <c r="H101" s="55">
        <v>46295</v>
      </c>
      <c r="I101" s="56">
        <v>30</v>
      </c>
      <c r="J101" s="55">
        <f t="shared" ref="J101:J132" si="3">H101+I101</f>
        <v>46325</v>
      </c>
      <c r="K101" s="54" t="s">
        <v>70</v>
      </c>
      <c r="L101" s="54" t="s">
        <v>22</v>
      </c>
      <c r="M101" s="54"/>
    </row>
    <row r="102" spans="1:13" ht="29" customHeight="1" x14ac:dyDescent="0.35">
      <c r="A102" s="54" t="s">
        <v>86</v>
      </c>
      <c r="B102" s="54" t="s">
        <v>87</v>
      </c>
      <c r="C102" s="56">
        <v>99</v>
      </c>
      <c r="D102" s="60" t="s">
        <v>228</v>
      </c>
      <c r="E102" s="54" t="s">
        <v>89</v>
      </c>
      <c r="F102" s="54" t="s">
        <v>90</v>
      </c>
      <c r="G102" s="54" t="s">
        <v>90</v>
      </c>
      <c r="H102" s="55">
        <v>46295</v>
      </c>
      <c r="I102" s="56">
        <v>30</v>
      </c>
      <c r="J102" s="55">
        <f t="shared" si="3"/>
        <v>46325</v>
      </c>
      <c r="K102" s="54" t="s">
        <v>90</v>
      </c>
      <c r="L102" s="54" t="s">
        <v>90</v>
      </c>
      <c r="M102" s="54" t="s">
        <v>229</v>
      </c>
    </row>
    <row r="103" spans="1:13" x14ac:dyDescent="0.35">
      <c r="A103" s="54" t="s">
        <v>216</v>
      </c>
      <c r="B103" s="54" t="s">
        <v>230</v>
      </c>
      <c r="C103" s="56">
        <v>100</v>
      </c>
      <c r="D103" s="60" t="s">
        <v>231</v>
      </c>
      <c r="E103" s="54" t="s">
        <v>18</v>
      </c>
      <c r="F103" s="54" t="s">
        <v>19</v>
      </c>
      <c r="G103" s="54" t="s">
        <v>39</v>
      </c>
      <c r="H103" s="55">
        <v>46295</v>
      </c>
      <c r="I103" s="56">
        <v>30</v>
      </c>
      <c r="J103" s="55">
        <f t="shared" si="3"/>
        <v>46325</v>
      </c>
      <c r="K103" s="54" t="s">
        <v>70</v>
      </c>
      <c r="L103" s="54" t="s">
        <v>22</v>
      </c>
      <c r="M103" s="54"/>
    </row>
    <row r="104" spans="1:13" x14ac:dyDescent="0.35">
      <c r="A104" s="54" t="s">
        <v>216</v>
      </c>
      <c r="B104" s="54" t="s">
        <v>230</v>
      </c>
      <c r="C104" s="56">
        <v>101</v>
      </c>
      <c r="D104" s="60" t="s">
        <v>232</v>
      </c>
      <c r="E104" s="54" t="s">
        <v>18</v>
      </c>
      <c r="F104" s="54" t="s">
        <v>19</v>
      </c>
      <c r="G104" s="54" t="s">
        <v>39</v>
      </c>
      <c r="H104" s="55">
        <v>46295</v>
      </c>
      <c r="I104" s="56">
        <v>30</v>
      </c>
      <c r="J104" s="55">
        <f t="shared" si="3"/>
        <v>46325</v>
      </c>
      <c r="K104" s="54" t="s">
        <v>70</v>
      </c>
      <c r="L104" s="54" t="s">
        <v>22</v>
      </c>
      <c r="M104" s="54"/>
    </row>
    <row r="105" spans="1:13" x14ac:dyDescent="0.35">
      <c r="A105" s="54" t="s">
        <v>216</v>
      </c>
      <c r="B105" s="54" t="s">
        <v>230</v>
      </c>
      <c r="C105" s="56">
        <v>102</v>
      </c>
      <c r="D105" s="60" t="s">
        <v>233</v>
      </c>
      <c r="E105" s="54" t="s">
        <v>18</v>
      </c>
      <c r="F105" s="54" t="s">
        <v>19</v>
      </c>
      <c r="G105" s="54" t="s">
        <v>35</v>
      </c>
      <c r="H105" s="55">
        <v>46295</v>
      </c>
      <c r="I105" s="56">
        <v>30</v>
      </c>
      <c r="J105" s="55">
        <f t="shared" si="3"/>
        <v>46325</v>
      </c>
      <c r="K105" s="54" t="s">
        <v>70</v>
      </c>
      <c r="L105" s="54" t="s">
        <v>36</v>
      </c>
      <c r="M105" s="54"/>
    </row>
    <row r="106" spans="1:13" x14ac:dyDescent="0.35">
      <c r="A106" s="54" t="s">
        <v>216</v>
      </c>
      <c r="B106" s="54" t="s">
        <v>230</v>
      </c>
      <c r="C106" s="56">
        <v>103</v>
      </c>
      <c r="D106" s="60" t="s">
        <v>234</v>
      </c>
      <c r="E106" s="54" t="s">
        <v>18</v>
      </c>
      <c r="F106" s="54" t="s">
        <v>19</v>
      </c>
      <c r="G106" s="54" t="s">
        <v>39</v>
      </c>
      <c r="H106" s="55">
        <v>46295</v>
      </c>
      <c r="I106" s="56">
        <v>30</v>
      </c>
      <c r="J106" s="55">
        <f t="shared" si="3"/>
        <v>46325</v>
      </c>
      <c r="K106" s="54" t="s">
        <v>70</v>
      </c>
      <c r="L106" s="54" t="s">
        <v>22</v>
      </c>
      <c r="M106" s="54"/>
    </row>
    <row r="107" spans="1:13" x14ac:dyDescent="0.35">
      <c r="A107" s="54" t="s">
        <v>216</v>
      </c>
      <c r="B107" s="54" t="s">
        <v>230</v>
      </c>
      <c r="C107" s="56">
        <v>104</v>
      </c>
      <c r="D107" s="60" t="s">
        <v>235</v>
      </c>
      <c r="E107" s="54" t="s">
        <v>18</v>
      </c>
      <c r="F107" s="54" t="s">
        <v>19</v>
      </c>
      <c r="G107" s="54" t="s">
        <v>39</v>
      </c>
      <c r="H107" s="55">
        <v>46295</v>
      </c>
      <c r="I107" s="56">
        <v>30</v>
      </c>
      <c r="J107" s="55">
        <f t="shared" si="3"/>
        <v>46325</v>
      </c>
      <c r="K107" s="54" t="s">
        <v>70</v>
      </c>
      <c r="L107" s="54" t="s">
        <v>22</v>
      </c>
      <c r="M107" s="54"/>
    </row>
    <row r="108" spans="1:13" x14ac:dyDescent="0.35">
      <c r="A108" s="54" t="s">
        <v>216</v>
      </c>
      <c r="B108" s="54" t="s">
        <v>230</v>
      </c>
      <c r="C108" s="56">
        <v>105</v>
      </c>
      <c r="D108" s="60" t="s">
        <v>236</v>
      </c>
      <c r="E108" s="54" t="s">
        <v>18</v>
      </c>
      <c r="F108" s="54" t="s">
        <v>19</v>
      </c>
      <c r="G108" s="54" t="s">
        <v>27</v>
      </c>
      <c r="H108" s="55">
        <v>46295</v>
      </c>
      <c r="I108" s="56">
        <v>30</v>
      </c>
      <c r="J108" s="55">
        <f t="shared" si="3"/>
        <v>46325</v>
      </c>
      <c r="K108" s="54" t="s">
        <v>70</v>
      </c>
      <c r="L108" s="54" t="s">
        <v>22</v>
      </c>
      <c r="M108" s="54" t="s">
        <v>237</v>
      </c>
    </row>
    <row r="109" spans="1:13" x14ac:dyDescent="0.35">
      <c r="A109" s="54" t="s">
        <v>216</v>
      </c>
      <c r="B109" s="54" t="s">
        <v>230</v>
      </c>
      <c r="C109" s="56">
        <v>106</v>
      </c>
      <c r="D109" s="60" t="s">
        <v>238</v>
      </c>
      <c r="E109" s="54" t="s">
        <v>18</v>
      </c>
      <c r="F109" s="54" t="s">
        <v>19</v>
      </c>
      <c r="G109" s="54" t="s">
        <v>35</v>
      </c>
      <c r="H109" s="55">
        <v>46295</v>
      </c>
      <c r="I109" s="56">
        <v>30</v>
      </c>
      <c r="J109" s="55">
        <f t="shared" si="3"/>
        <v>46325</v>
      </c>
      <c r="K109" s="54" t="s">
        <v>70</v>
      </c>
      <c r="L109" s="54" t="s">
        <v>36</v>
      </c>
      <c r="M109" s="54"/>
    </row>
    <row r="110" spans="1:13" x14ac:dyDescent="0.35">
      <c r="A110" s="54" t="s">
        <v>216</v>
      </c>
      <c r="B110" s="54" t="s">
        <v>230</v>
      </c>
      <c r="C110" s="56">
        <v>107</v>
      </c>
      <c r="D110" s="60" t="s">
        <v>239</v>
      </c>
      <c r="E110" s="54" t="s">
        <v>18</v>
      </c>
      <c r="F110" s="54" t="s">
        <v>19</v>
      </c>
      <c r="G110" s="54" t="s">
        <v>39</v>
      </c>
      <c r="H110" s="55">
        <v>46295</v>
      </c>
      <c r="I110" s="56">
        <v>30</v>
      </c>
      <c r="J110" s="55">
        <f t="shared" si="3"/>
        <v>46325</v>
      </c>
      <c r="K110" s="54" t="s">
        <v>70</v>
      </c>
      <c r="L110" s="54" t="s">
        <v>36</v>
      </c>
      <c r="M110" s="54" t="s">
        <v>240</v>
      </c>
    </row>
    <row r="111" spans="1:13" x14ac:dyDescent="0.35">
      <c r="A111" s="54" t="s">
        <v>92</v>
      </c>
      <c r="B111" s="54" t="s">
        <v>241</v>
      </c>
      <c r="C111" s="56">
        <v>108</v>
      </c>
      <c r="D111" s="60" t="s">
        <v>242</v>
      </c>
      <c r="E111" s="54" t="s">
        <v>18</v>
      </c>
      <c r="F111" s="54" t="s">
        <v>19</v>
      </c>
      <c r="G111" s="54" t="s">
        <v>35</v>
      </c>
      <c r="H111" s="55">
        <v>46295</v>
      </c>
      <c r="I111" s="56">
        <v>30</v>
      </c>
      <c r="J111" s="55">
        <f t="shared" si="3"/>
        <v>46325</v>
      </c>
      <c r="K111" s="54" t="s">
        <v>70</v>
      </c>
      <c r="L111" s="54" t="s">
        <v>36</v>
      </c>
      <c r="M111" s="54" t="s">
        <v>243</v>
      </c>
    </row>
    <row r="112" spans="1:13" ht="29" customHeight="1" x14ac:dyDescent="0.35">
      <c r="A112" s="54" t="s">
        <v>216</v>
      </c>
      <c r="B112" s="54" t="s">
        <v>171</v>
      </c>
      <c r="C112" s="56">
        <v>109</v>
      </c>
      <c r="D112" s="60" t="s">
        <v>244</v>
      </c>
      <c r="E112" s="54" t="s">
        <v>169</v>
      </c>
      <c r="F112" s="54" t="s">
        <v>19</v>
      </c>
      <c r="G112" s="54" t="s">
        <v>20</v>
      </c>
      <c r="H112" s="55">
        <v>46325</v>
      </c>
      <c r="I112" s="56">
        <v>2</v>
      </c>
      <c r="J112" s="55">
        <f t="shared" si="3"/>
        <v>46327</v>
      </c>
      <c r="K112" s="54" t="s">
        <v>70</v>
      </c>
      <c r="L112" s="54" t="s">
        <v>22</v>
      </c>
      <c r="M112" s="54" t="s">
        <v>245</v>
      </c>
    </row>
    <row r="113" spans="1:13" x14ac:dyDescent="0.35">
      <c r="A113" s="54" t="s">
        <v>216</v>
      </c>
      <c r="B113" s="54" t="s">
        <v>171</v>
      </c>
      <c r="C113" s="56">
        <v>110</v>
      </c>
      <c r="D113" s="60" t="s">
        <v>246</v>
      </c>
      <c r="E113" s="54" t="s">
        <v>169</v>
      </c>
      <c r="F113" s="54" t="s">
        <v>19</v>
      </c>
      <c r="G113" s="54" t="s">
        <v>20</v>
      </c>
      <c r="H113" s="55">
        <v>46325</v>
      </c>
      <c r="I113" s="56">
        <v>2</v>
      </c>
      <c r="J113" s="55">
        <f t="shared" si="3"/>
        <v>46327</v>
      </c>
      <c r="K113" s="54" t="s">
        <v>70</v>
      </c>
      <c r="L113" s="54" t="s">
        <v>22</v>
      </c>
      <c r="M113" s="54"/>
    </row>
    <row r="114" spans="1:13" ht="29" customHeight="1" x14ac:dyDescent="0.35">
      <c r="A114" s="54" t="s">
        <v>216</v>
      </c>
      <c r="B114" s="54" t="s">
        <v>171</v>
      </c>
      <c r="C114" s="56">
        <v>111</v>
      </c>
      <c r="D114" s="60" t="s">
        <v>247</v>
      </c>
      <c r="E114" s="54" t="s">
        <v>169</v>
      </c>
      <c r="F114" s="54" t="s">
        <v>19</v>
      </c>
      <c r="G114" s="54" t="s">
        <v>20</v>
      </c>
      <c r="H114" s="55">
        <v>46325</v>
      </c>
      <c r="I114" s="56">
        <v>2</v>
      </c>
      <c r="J114" s="55">
        <f t="shared" si="3"/>
        <v>46327</v>
      </c>
      <c r="K114" s="54" t="s">
        <v>70</v>
      </c>
      <c r="L114" s="54" t="s">
        <v>22</v>
      </c>
      <c r="M114" s="54"/>
    </row>
    <row r="115" spans="1:13" ht="29" customHeight="1" x14ac:dyDescent="0.35">
      <c r="A115" s="54" t="s">
        <v>216</v>
      </c>
      <c r="B115" s="54" t="s">
        <v>171</v>
      </c>
      <c r="C115" s="56">
        <v>112</v>
      </c>
      <c r="D115" s="60" t="s">
        <v>248</v>
      </c>
      <c r="E115" s="54" t="s">
        <v>169</v>
      </c>
      <c r="F115" s="54" t="s">
        <v>19</v>
      </c>
      <c r="G115" s="54" t="s">
        <v>20</v>
      </c>
      <c r="H115" s="55">
        <v>46325</v>
      </c>
      <c r="I115" s="56">
        <v>2</v>
      </c>
      <c r="J115" s="55">
        <f t="shared" si="3"/>
        <v>46327</v>
      </c>
      <c r="K115" s="54" t="s">
        <v>70</v>
      </c>
      <c r="L115" s="54" t="s">
        <v>22</v>
      </c>
      <c r="M115" s="54"/>
    </row>
    <row r="116" spans="1:13" ht="29" customHeight="1" x14ac:dyDescent="0.35">
      <c r="A116" s="54" t="s">
        <v>216</v>
      </c>
      <c r="B116" s="54" t="s">
        <v>171</v>
      </c>
      <c r="C116" s="56">
        <v>113</v>
      </c>
      <c r="D116" s="60" t="s">
        <v>249</v>
      </c>
      <c r="E116" s="54" t="s">
        <v>169</v>
      </c>
      <c r="F116" s="54" t="s">
        <v>19</v>
      </c>
      <c r="G116" s="54" t="s">
        <v>20</v>
      </c>
      <c r="H116" s="55">
        <v>46325</v>
      </c>
      <c r="I116" s="56">
        <v>2</v>
      </c>
      <c r="J116" s="55">
        <f t="shared" si="3"/>
        <v>46327</v>
      </c>
      <c r="K116" s="54" t="s">
        <v>70</v>
      </c>
      <c r="L116" s="54" t="s">
        <v>22</v>
      </c>
      <c r="M116" s="54" t="s">
        <v>250</v>
      </c>
    </row>
    <row r="117" spans="1:13" ht="29" customHeight="1" x14ac:dyDescent="0.35">
      <c r="A117" s="54" t="s">
        <v>86</v>
      </c>
      <c r="B117" s="54" t="s">
        <v>87</v>
      </c>
      <c r="C117" s="56">
        <v>114</v>
      </c>
      <c r="D117" s="60" t="s">
        <v>251</v>
      </c>
      <c r="E117" s="54" t="s">
        <v>89</v>
      </c>
      <c r="F117" s="54" t="s">
        <v>90</v>
      </c>
      <c r="G117" s="54" t="s">
        <v>90</v>
      </c>
      <c r="H117" s="55">
        <v>46341</v>
      </c>
      <c r="I117" s="56">
        <v>1</v>
      </c>
      <c r="J117" s="55">
        <f t="shared" si="3"/>
        <v>46342</v>
      </c>
      <c r="K117" s="54" t="s">
        <v>90</v>
      </c>
      <c r="L117" s="54" t="s">
        <v>90</v>
      </c>
      <c r="M117" s="54" t="s">
        <v>252</v>
      </c>
    </row>
    <row r="118" spans="1:13" ht="29" customHeight="1" x14ac:dyDescent="0.35">
      <c r="A118" s="54" t="s">
        <v>86</v>
      </c>
      <c r="B118" s="54" t="s">
        <v>87</v>
      </c>
      <c r="C118" s="56">
        <v>115</v>
      </c>
      <c r="D118" s="60" t="s">
        <v>253</v>
      </c>
      <c r="E118" s="54" t="s">
        <v>89</v>
      </c>
      <c r="F118" s="54" t="s">
        <v>90</v>
      </c>
      <c r="G118" s="54" t="s">
        <v>90</v>
      </c>
      <c r="H118" s="55">
        <v>46341</v>
      </c>
      <c r="I118" s="56">
        <v>1</v>
      </c>
      <c r="J118" s="55">
        <f t="shared" si="3"/>
        <v>46342</v>
      </c>
      <c r="K118" s="54" t="s">
        <v>90</v>
      </c>
      <c r="L118" s="54" t="s">
        <v>90</v>
      </c>
      <c r="M118" s="54" t="s">
        <v>254</v>
      </c>
    </row>
    <row r="119" spans="1:13" ht="29" customHeight="1" x14ac:dyDescent="0.35">
      <c r="A119" s="54" t="s">
        <v>255</v>
      </c>
      <c r="B119" s="54" t="s">
        <v>256</v>
      </c>
      <c r="C119" s="56">
        <v>116</v>
      </c>
      <c r="D119" s="60" t="s">
        <v>257</v>
      </c>
      <c r="E119" s="54" t="s">
        <v>258</v>
      </c>
      <c r="F119" s="54" t="s">
        <v>90</v>
      </c>
      <c r="G119" s="54" t="s">
        <v>90</v>
      </c>
      <c r="H119" s="55">
        <v>46341</v>
      </c>
      <c r="I119" s="56">
        <v>14</v>
      </c>
      <c r="J119" s="55">
        <f t="shared" si="3"/>
        <v>46355</v>
      </c>
      <c r="K119" s="54" t="s">
        <v>90</v>
      </c>
      <c r="L119" s="54" t="s">
        <v>90</v>
      </c>
      <c r="M119" s="54" t="s">
        <v>259</v>
      </c>
    </row>
    <row r="120" spans="1:13" ht="29" customHeight="1" x14ac:dyDescent="0.35">
      <c r="A120" s="54" t="s">
        <v>255</v>
      </c>
      <c r="B120" s="54" t="s">
        <v>256</v>
      </c>
      <c r="C120" s="56">
        <v>117</v>
      </c>
      <c r="D120" s="60" t="s">
        <v>260</v>
      </c>
      <c r="E120" s="54" t="s">
        <v>258</v>
      </c>
      <c r="F120" s="54" t="s">
        <v>90</v>
      </c>
      <c r="G120" s="54" t="s">
        <v>90</v>
      </c>
      <c r="H120" s="55">
        <v>46341</v>
      </c>
      <c r="I120" s="56">
        <v>14</v>
      </c>
      <c r="J120" s="55">
        <f t="shared" si="3"/>
        <v>46355</v>
      </c>
      <c r="K120" s="54" t="s">
        <v>90</v>
      </c>
      <c r="L120" s="54" t="s">
        <v>90</v>
      </c>
      <c r="M120" s="54" t="s">
        <v>261</v>
      </c>
    </row>
    <row r="121" spans="1:13" ht="29" customHeight="1" x14ac:dyDescent="0.35">
      <c r="A121" s="54" t="s">
        <v>255</v>
      </c>
      <c r="B121" s="54" t="s">
        <v>256</v>
      </c>
      <c r="C121" s="56">
        <v>118</v>
      </c>
      <c r="D121" s="60" t="s">
        <v>262</v>
      </c>
      <c r="E121" s="54" t="s">
        <v>258</v>
      </c>
      <c r="F121" s="54" t="s">
        <v>90</v>
      </c>
      <c r="G121" s="54" t="s">
        <v>90</v>
      </c>
      <c r="H121" s="55">
        <v>46341</v>
      </c>
      <c r="I121" s="56">
        <v>14</v>
      </c>
      <c r="J121" s="55">
        <f t="shared" si="3"/>
        <v>46355</v>
      </c>
      <c r="K121" s="54" t="s">
        <v>90</v>
      </c>
      <c r="L121" s="54" t="s">
        <v>90</v>
      </c>
      <c r="M121" s="54" t="s">
        <v>263</v>
      </c>
    </row>
    <row r="122" spans="1:13" ht="29" customHeight="1" x14ac:dyDescent="0.35">
      <c r="A122" s="54" t="s">
        <v>255</v>
      </c>
      <c r="B122" s="54" t="s">
        <v>256</v>
      </c>
      <c r="C122" s="56">
        <v>119</v>
      </c>
      <c r="D122" s="60" t="s">
        <v>264</v>
      </c>
      <c r="E122" s="54" t="s">
        <v>258</v>
      </c>
      <c r="F122" s="54" t="s">
        <v>90</v>
      </c>
      <c r="G122" s="54" t="s">
        <v>90</v>
      </c>
      <c r="H122" s="55">
        <v>46341</v>
      </c>
      <c r="I122" s="56">
        <v>14</v>
      </c>
      <c r="J122" s="55">
        <f t="shared" si="3"/>
        <v>46355</v>
      </c>
      <c r="K122" s="54" t="s">
        <v>90</v>
      </c>
      <c r="L122" s="54" t="s">
        <v>90</v>
      </c>
      <c r="M122" s="54" t="s">
        <v>265</v>
      </c>
    </row>
    <row r="123" spans="1:13" ht="29" customHeight="1" x14ac:dyDescent="0.35">
      <c r="A123" s="54" t="s">
        <v>255</v>
      </c>
      <c r="B123" s="54" t="s">
        <v>256</v>
      </c>
      <c r="C123" s="56">
        <v>120</v>
      </c>
      <c r="D123" s="60" t="s">
        <v>266</v>
      </c>
      <c r="E123" s="54" t="s">
        <v>258</v>
      </c>
      <c r="F123" s="54" t="s">
        <v>90</v>
      </c>
      <c r="G123" s="54" t="s">
        <v>90</v>
      </c>
      <c r="H123" s="55">
        <v>46341</v>
      </c>
      <c r="I123" s="56">
        <v>14</v>
      </c>
      <c r="J123" s="55">
        <f t="shared" si="3"/>
        <v>46355</v>
      </c>
      <c r="K123" s="54" t="s">
        <v>90</v>
      </c>
      <c r="L123" s="54" t="s">
        <v>90</v>
      </c>
      <c r="M123" s="54" t="s">
        <v>267</v>
      </c>
    </row>
    <row r="124" spans="1:13" ht="29" customHeight="1" x14ac:dyDescent="0.35">
      <c r="A124" s="54" t="s">
        <v>255</v>
      </c>
      <c r="B124" s="54" t="s">
        <v>256</v>
      </c>
      <c r="C124" s="56">
        <v>121</v>
      </c>
      <c r="D124" s="60" t="s">
        <v>268</v>
      </c>
      <c r="E124" s="54" t="s">
        <v>258</v>
      </c>
      <c r="F124" s="54" t="s">
        <v>90</v>
      </c>
      <c r="G124" s="54" t="s">
        <v>90</v>
      </c>
      <c r="H124" s="55">
        <v>46341</v>
      </c>
      <c r="I124" s="56">
        <v>14</v>
      </c>
      <c r="J124" s="55">
        <f t="shared" si="3"/>
        <v>46355</v>
      </c>
      <c r="K124" s="54" t="s">
        <v>70</v>
      </c>
      <c r="L124" s="54" t="s">
        <v>90</v>
      </c>
      <c r="M124" s="54" t="s">
        <v>269</v>
      </c>
    </row>
    <row r="125" spans="1:13" ht="43.5" customHeight="1" x14ac:dyDescent="0.35">
      <c r="A125" s="54" t="s">
        <v>15</v>
      </c>
      <c r="B125" s="54" t="s">
        <v>270</v>
      </c>
      <c r="C125" s="56">
        <v>122</v>
      </c>
      <c r="D125" s="60" t="s">
        <v>271</v>
      </c>
      <c r="E125" s="54" t="s">
        <v>18</v>
      </c>
      <c r="F125" s="54" t="s">
        <v>19</v>
      </c>
      <c r="G125" s="54" t="s">
        <v>39</v>
      </c>
      <c r="H125" s="55">
        <v>46243</v>
      </c>
      <c r="I125" s="56">
        <v>5</v>
      </c>
      <c r="J125" s="55">
        <f t="shared" si="3"/>
        <v>46248</v>
      </c>
      <c r="K125" s="54" t="s">
        <v>70</v>
      </c>
      <c r="L125" s="54" t="s">
        <v>22</v>
      </c>
      <c r="M125" s="54" t="s">
        <v>272</v>
      </c>
    </row>
    <row r="126" spans="1:13" ht="29" customHeight="1" x14ac:dyDescent="0.35">
      <c r="A126" s="54" t="s">
        <v>15</v>
      </c>
      <c r="B126" s="54" t="s">
        <v>217</v>
      </c>
      <c r="C126" s="56">
        <v>123</v>
      </c>
      <c r="D126" s="60" t="s">
        <v>273</v>
      </c>
      <c r="E126" s="54" t="s">
        <v>18</v>
      </c>
      <c r="F126" s="54" t="s">
        <v>19</v>
      </c>
      <c r="G126" s="54" t="s">
        <v>39</v>
      </c>
      <c r="H126" s="55">
        <v>46243</v>
      </c>
      <c r="I126" s="56">
        <v>5</v>
      </c>
      <c r="J126" s="55">
        <f t="shared" si="3"/>
        <v>46248</v>
      </c>
      <c r="K126" s="54" t="s">
        <v>70</v>
      </c>
      <c r="L126" s="54" t="s">
        <v>36</v>
      </c>
      <c r="M126" s="54" t="s">
        <v>274</v>
      </c>
    </row>
    <row r="127" spans="1:13" ht="58" x14ac:dyDescent="0.35">
      <c r="A127" s="54" t="s">
        <v>255</v>
      </c>
      <c r="B127" s="54" t="s">
        <v>256</v>
      </c>
      <c r="C127" s="56">
        <v>124</v>
      </c>
      <c r="D127" s="60" t="s">
        <v>275</v>
      </c>
      <c r="E127" s="54" t="s">
        <v>258</v>
      </c>
      <c r="F127" s="54" t="s">
        <v>90</v>
      </c>
      <c r="G127" s="54" t="s">
        <v>90</v>
      </c>
      <c r="H127" s="55">
        <v>46341</v>
      </c>
      <c r="I127" s="56">
        <v>14</v>
      </c>
      <c r="J127" s="55">
        <f t="shared" si="3"/>
        <v>46355</v>
      </c>
      <c r="K127" s="54" t="s">
        <v>70</v>
      </c>
      <c r="L127" s="54" t="s">
        <v>90</v>
      </c>
      <c r="M127" s="54" t="s">
        <v>276</v>
      </c>
    </row>
    <row r="128" spans="1:13" x14ac:dyDescent="0.35">
      <c r="C128" s="64"/>
    </row>
    <row r="129" spans="1:13" x14ac:dyDescent="0.35">
      <c r="A129" s="46" t="s">
        <v>277</v>
      </c>
      <c r="B129" s="46"/>
      <c r="C129" s="65"/>
      <c r="D129" s="61"/>
      <c r="E129" s="46"/>
      <c r="F129" s="46"/>
      <c r="G129" s="46"/>
      <c r="H129" s="46"/>
      <c r="I129" s="46"/>
      <c r="J129" s="46"/>
      <c r="K129" s="46"/>
      <c r="L129" s="46"/>
      <c r="M129" s="46"/>
    </row>
    <row r="130" spans="1:13" x14ac:dyDescent="0.35">
      <c r="A130" s="47" t="s">
        <v>278</v>
      </c>
      <c r="B130" s="49">
        <f>COUNTA(D5:D127)</f>
        <v>123</v>
      </c>
      <c r="C130" s="66"/>
      <c r="D130" s="62"/>
      <c r="E130" s="45"/>
      <c r="F130" s="45"/>
      <c r="G130" s="45"/>
      <c r="H130" s="45"/>
      <c r="I130" s="45"/>
      <c r="J130" s="45"/>
      <c r="K130" s="45"/>
      <c r="L130" s="45"/>
      <c r="M130" s="45"/>
    </row>
    <row r="131" spans="1:13" x14ac:dyDescent="0.35">
      <c r="A131" s="48" t="s">
        <v>21</v>
      </c>
      <c r="B131" s="50">
        <f>COUNTIF(K5:K127,"Complete")</f>
        <v>22</v>
      </c>
      <c r="C131" s="67"/>
      <c r="D131" s="62"/>
      <c r="E131" s="45"/>
      <c r="F131" s="45"/>
      <c r="G131" s="45"/>
      <c r="H131" s="45"/>
      <c r="I131" s="45"/>
      <c r="J131" s="45"/>
      <c r="K131" s="45"/>
      <c r="L131" s="45"/>
      <c r="M131" s="45"/>
    </row>
    <row r="132" spans="1:13" x14ac:dyDescent="0.35">
      <c r="A132" s="48" t="s">
        <v>279</v>
      </c>
      <c r="B132" s="50">
        <f>COUNTIFS(L5:L127,"Yes",K5:K127,"&lt;&gt;Complete")</f>
        <v>35</v>
      </c>
      <c r="C132" s="67"/>
      <c r="D132" s="62"/>
      <c r="E132" s="45"/>
      <c r="F132" s="45"/>
      <c r="G132" s="45"/>
      <c r="H132" s="45"/>
      <c r="I132" s="45"/>
      <c r="J132" s="45"/>
      <c r="K132" s="45"/>
      <c r="L132" s="45"/>
      <c r="M132" s="45"/>
    </row>
    <row r="133" spans="1:13" x14ac:dyDescent="0.35">
      <c r="A133" s="48" t="s">
        <v>280</v>
      </c>
      <c r="B133" s="50">
        <f>COUNTIFS(E5:E127,"GATE",K5:K127,"&lt;&gt;Complete")</f>
        <v>15</v>
      </c>
      <c r="C133" s="67"/>
      <c r="D133" s="62"/>
      <c r="E133" s="45"/>
      <c r="F133" s="45"/>
      <c r="G133" s="45"/>
      <c r="H133" s="45"/>
      <c r="I133" s="45"/>
      <c r="J133" s="45"/>
      <c r="K133" s="45"/>
      <c r="L133" s="45"/>
      <c r="M133" s="45"/>
    </row>
  </sheetData>
  <mergeCells count="1">
    <mergeCell ref="A1:N1"/>
  </mergeCells>
  <conditionalFormatting sqref="A5:M126">
    <cfRule type="expression" dxfId="23" priority="38">
      <formula>$E5="GATE"</formula>
    </cfRule>
    <cfRule type="expression" dxfId="22" priority="39">
      <formula>$E5="Milestone"</formula>
    </cfRule>
    <cfRule type="expression" dxfId="21" priority="40">
      <formula>$E5="Reference"</formula>
    </cfRule>
    <cfRule type="expression" dxfId="20" priority="49">
      <formula>$A5="PWA"</formula>
    </cfRule>
    <cfRule type="expression" dxfId="19" priority="50">
      <formula>$A5="Analytics &amp; Support"</formula>
    </cfRule>
    <cfRule type="expression" dxfId="18" priority="51">
      <formula>$A5="User Funnel"</formula>
    </cfRule>
    <cfRule type="expression" dxfId="17" priority="52">
      <formula>$A5="Alpha"</formula>
    </cfRule>
    <cfRule type="expression" dxfId="16" priority="53">
      <formula>$A5="Social &amp; Content"</formula>
    </cfRule>
    <cfRule type="expression" dxfId="15" priority="54">
      <formula>$A5="Business Readiness"</formula>
    </cfRule>
    <cfRule type="expression" dxfId="14" priority="55">
      <formula>$A5="Launch Day"</formula>
    </cfRule>
    <cfRule type="expression" dxfId="13" priority="56">
      <formula>$A5="Risk"</formula>
    </cfRule>
    <cfRule type="expression" dxfId="12" priority="57">
      <formula>$A5="App Store"</formula>
    </cfRule>
    <cfRule type="expression" dxfId="11" priority="58">
      <formula>$A5="Post-Launch Backlog"</formula>
    </cfRule>
    <cfRule type="expression" dxfId="10" priority="59">
      <formula>$E5="GATE"</formula>
    </cfRule>
    <cfRule type="expression" dxfId="9" priority="60">
      <formula>$E5="Milestone"</formula>
    </cfRule>
    <cfRule type="expression" dxfId="8" priority="61">
      <formula>$E5="Reference"</formula>
    </cfRule>
  </conditionalFormatting>
  <conditionalFormatting sqref="G5:G126">
    <cfRule type="containsText" dxfId="7" priority="46" operator="containsText" text="Critical"/>
    <cfRule type="containsText" dxfId="6" priority="47" operator="containsText" text="High"/>
    <cfRule type="containsText" dxfId="5" priority="48" operator="containsText" text="Medium"/>
  </conditionalFormatting>
  <conditionalFormatting sqref="K5:K126">
    <cfRule type="containsText" dxfId="4" priority="41" operator="containsText" text="Complete"/>
    <cfRule type="containsText" dxfId="3" priority="42" operator="containsText" text="In Progress"/>
    <cfRule type="containsText" dxfId="2" priority="43" operator="containsText" text="Not Started"/>
  </conditionalFormatting>
  <conditionalFormatting sqref="L5:L126">
    <cfRule type="containsText" dxfId="1" priority="44" operator="containsText" text="Yes"/>
    <cfRule type="containsText" dxfId="0" priority="45" operator="containsText" text="For App Store"/>
  </conditionalFormatting>
  <dataValidations count="3">
    <dataValidation type="list" allowBlank="1" sqref="K5:K127" xr:uid="{00000000-0002-0000-0100-000000000000}">
      <formula1>"Not Started,In Progress,Blocked,Complete,Deferred,N/A"</formula1>
    </dataValidation>
    <dataValidation type="list" allowBlank="1" sqref="G5:G127" xr:uid="{00000000-0002-0000-0100-000001000000}">
      <formula1>"Critical,High,Medium,Low,-"</formula1>
    </dataValidation>
    <dataValidation type="date" allowBlank="1" sqref="H5:H127 J5:J127" xr:uid="{00000000-0002-0000-0100-000002000000}">
      <formula1>46243</formula1>
      <formula2>46512</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3"/>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RowHeight="14.5"/>
  <cols>
    <col min="1" max="1" width="9" customWidth="1"/>
    <col min="2" max="2" width="8" customWidth="1"/>
    <col min="3" max="3" width="17" customWidth="1"/>
    <col min="4" max="4" width="62" customWidth="1"/>
    <col min="5" max="5" width="20" customWidth="1"/>
    <col min="6" max="6" width="18" customWidth="1"/>
    <col min="7" max="7" width="20" customWidth="1"/>
    <col min="8" max="8" width="13" customWidth="1"/>
    <col min="9" max="9" width="11" customWidth="1"/>
    <col min="10" max="10" width="12" customWidth="1"/>
    <col min="11" max="11" width="90" customWidth="1"/>
  </cols>
  <sheetData>
    <row r="1" spans="1:11" ht="20" customHeight="1">
      <c r="A1" s="68" t="inlineStr">
        <is>
          <t xml:space="preserve">Wysker Watch — Pre-Alpha Audit Punch List</t>
        </is>
      </c>
      <c r="B1" s="69"/>
      <c r="C1" s="69"/>
      <c r="D1" s="69"/>
      <c r="E1" s="69"/>
      <c r="F1" s="69"/>
      <c r="G1" s="69"/>
      <c r="H1" s="69"/>
      <c r="I1" s="69"/>
      <c r="J1" s="69"/>
      <c r="K1" s="69"/>
    </row>
    <row r="2" spans="1:11">
      <c r="A2" s="7" t="inlineStr">
        <is>
          <t xml:space="preserve">Combined from spec 0068 (deployed-state audit) and spec 0069 (security review), 2026-10-23. P0 = fix before alpha kickoff on 2026-11-02. Each fix needs its own spec and Lynn's review before any code is written. Filter with the header dropdowns.</t>
        </is>
      </c>
    </row>
    <row r="4" spans="1:11">
      <c r="A4" s="63" t="inlineStr">
        <is>
          <t xml:space="preserve">Item ID</t>
        </is>
      </c>
      <c r="B4" s="63" t="inlineStr">
        <is>
          <t xml:space="preserve">Rank</t>
        </is>
      </c>
      <c r="C4" s="1" t="inlineStr">
        <is>
          <t xml:space="preserve">Area</t>
        </is>
      </c>
      <c r="D4" s="58" t="inlineStr">
        <is>
          <t xml:space="preserve">Item</t>
        </is>
      </c>
      <c r="E4" s="1" t="inlineStr">
        <is>
          <t xml:space="preserve">Source</t>
        </is>
      </c>
      <c r="F4" s="1" t="inlineStr">
        <is>
          <t xml:space="preserve">Owner</t>
        </is>
      </c>
      <c r="G4" s="1" t="inlineStr">
        <is>
          <t xml:space="preserve">Fix Type</t>
        </is>
      </c>
      <c r="H4" s="1" t="inlineStr">
        <is>
          <t xml:space="preserve">Status</t>
        </is>
      </c>
      <c r="I4" s="1" t="inlineStr">
        <is>
          <t xml:space="preserve">Blocks Alpha?</t>
        </is>
      </c>
      <c r="J4" s="1" t="inlineStr">
        <is>
          <t xml:space="preserve">Fix Spec</t>
        </is>
      </c>
      <c r="K4" s="1" t="inlineStr">
        <is>
          <t xml:space="preserve">Notes</t>
        </is>
      </c>
    </row>
    <row r="5" spans="1:11" ht="49" customHeight="1">
      <c r="A5" s="56" t="inlineStr">
        <is>
          <t xml:space="preserve">PA-01</t>
        </is>
      </c>
      <c r="B5" s="56" t="inlineStr">
        <is>
          <t xml:space="preserve">P0</t>
        </is>
      </c>
      <c r="C5" s="54" t="inlineStr">
        <is>
          <t xml:space="preserve">Storage</t>
        </is>
      </c>
      <c r="D5" s="60" t="inlineStr">
        <is>
          <t xml:space="preserve">Make the uploads bucket private. Anyone, even logged out, can currently list and download every pet photo and scanned vet document.</t>
        </is>
      </c>
      <c r="E5" s="54" t="inlineStr">
        <is>
          <t xml:space="preserve">0068 P0-1</t>
        </is>
      </c>
      <c r="F5" s="54" t="inlineStr">
        <is>
          <t xml:space="preserve">Lynn (Claude Code)</t>
        </is>
      </c>
      <c r="G5" s="54" t="inlineStr">
        <is>
          <t xml:space="preserve">Migration + Frontend + Edge Function</t>
        </is>
      </c>
      <c r="H5" s="56" t="inlineStr">
        <is>
          <t xml:space="preserve">Not Started</t>
        </is>
      </c>
      <c r="I5" s="56" t="inlineStr">
        <is>
          <t xml:space="preserve">Yes</t>
        </is>
      </c>
      <c r="J5" s="56" t="inlineStr">
        <is>
          <t xml:space="preserve">Not written</t>
        </is>
      </c>
      <c r="K5" s="54" t="inlineStr">
        <is>
          <t xml:space="preserve">Switch to short-lived signed links (storageClient.js), store file paths instead of public URLs, add a size cap and image/PDF-only rule. ask-vet-assistant must download files server-side. Also covers 0069's note that observation photo links accept any outside URL.</t>
        </is>
      </c>
    </row>
    <row r="6" spans="1:11" ht="49" customHeight="1">
      <c r="A6" s="56" t="inlineStr">
        <is>
          <t xml:space="preserve">PA-02</t>
        </is>
      </c>
      <c r="B6" s="56" t="inlineStr">
        <is>
          <t xml:space="preserve">P0</t>
        </is>
      </c>
      <c r="C6" s="54" t="inlineStr">
        <is>
          <t xml:space="preserve">Access control</t>
        </is>
      </c>
      <c r="D6" s="60" t="inlineStr">
        <is>
          <t xml:space="preserve">Stop strangers from making themselves a pet's co-owner. Any signed-in user who knows a pet's ID can add themselves, invisibly, and then edit or delete the pet.</t>
        </is>
      </c>
      <c r="E6" s="54" t="inlineStr">
        <is>
          <t xml:space="preserve">0068 P0-2</t>
        </is>
      </c>
      <c r="F6" s="54" t="inlineStr">
        <is>
          <t xml:space="preserve">Lynn (Claude Code)</t>
        </is>
      </c>
      <c r="G6" s="54" t="inlineStr">
        <is>
          <t xml:space="preserve">Migration</t>
        </is>
      </c>
      <c r="H6" s="56" t="inlineStr">
        <is>
          <t xml:space="preserve">Not Started</t>
        </is>
      </c>
      <c r="I6" s="56" t="inlineStr">
        <is>
          <t xml:space="preserve">Yes</t>
        </is>
      </c>
      <c r="J6" s="56" t="inlineStr">
        <is>
          <t xml:space="preserve">Not written</t>
        </is>
      </c>
      <c r="K6" s="54" t="inlineStr">
        <is>
          <t xml:space="preserve">Insert rule must require the caller to already own the pet, and only the invite-claim step may link a user. Let every owner of a pet see all its co-owners. Add a stranger test (test1@ on test4@'s pet must fail).</t>
        </is>
      </c>
    </row>
    <row r="7" spans="1:11" ht="34" customHeight="1">
      <c r="A7" s="56" t="inlineStr">
        <is>
          <t xml:space="preserve">PA-03</t>
        </is>
      </c>
      <c r="B7" s="56" t="inlineStr">
        <is>
          <t xml:space="preserve">P0</t>
        </is>
      </c>
      <c r="C7" s="54" t="inlineStr">
        <is>
          <t xml:space="preserve">Access control</t>
        </is>
      </c>
      <c r="D7" s="60" t="inlineStr">
        <is>
          <t xml:space="preserve">Stop strangers from giving themselves read access to any pet through a fake pet-sit.</t>
        </is>
      </c>
      <c r="E7" s="54" t="inlineStr">
        <is>
          <t xml:space="preserve">0068 P0-3</t>
        </is>
      </c>
      <c r="F7" s="54" t="inlineStr">
        <is>
          <t xml:space="preserve">Lynn (Claude Code)</t>
        </is>
      </c>
      <c r="G7" s="54" t="inlineStr">
        <is>
          <t xml:space="preserve">Migration</t>
        </is>
      </c>
      <c r="H7" s="56" t="inlineStr">
        <is>
          <t xml:space="preserve">Not Started</t>
        </is>
      </c>
      <c r="I7" s="56" t="inlineStr">
        <is>
          <t xml:space="preserve">Yes</t>
        </is>
      </c>
      <c r="J7" s="56" t="inlineStr">
        <is>
          <t xml:space="preserve">Not written</t>
        </is>
      </c>
      <c r="K7" s="54" t="inlineStr">
        <is>
          <t xml:space="preserve">Pet-sit and sitter-access rules must require the caller to own every pet in the sit, not just one. Same fix spec as PA-04.</t>
        </is>
      </c>
    </row>
    <row r="8" spans="1:11" ht="49" customHeight="1">
      <c r="A8" s="56" t="inlineStr">
        <is>
          <t xml:space="preserve">PA-04</t>
        </is>
      </c>
      <c r="B8" s="56" t="inlineStr">
        <is>
          <t xml:space="preserve">P0</t>
        </is>
      </c>
      <c r="C8" s="54" t="inlineStr">
        <is>
          <t xml:space="preserve">Access control</t>
        </is>
      </c>
      <c r="D8" s="60" t="inlineStr">
        <is>
          <t xml:space="preserve">Make sitter access end when the sit ends. Today a sitter can read the pet's profile and every future check-in forever, which contradicts the Privacy Policy.</t>
        </is>
      </c>
      <c r="E8" s="54" t="inlineStr">
        <is>
          <t xml:space="preserve">0069 P0-1</t>
        </is>
      </c>
      <c r="F8" s="54" t="inlineStr">
        <is>
          <t xml:space="preserve">Lynn (Claude Code)</t>
        </is>
      </c>
      <c r="G8" s="54" t="inlineStr">
        <is>
          <t xml:space="preserve">Migration + Decision</t>
        </is>
      </c>
      <c r="H8" s="56" t="inlineStr">
        <is>
          <t xml:space="preserve">Not Started</t>
        </is>
      </c>
      <c r="I8" s="56" t="inlineStr">
        <is>
          <t xml:space="preserve">Yes</t>
        </is>
      </c>
      <c r="J8" s="56" t="inlineStr">
        <is>
          <t xml:space="preserve">Not written</t>
        </is>
      </c>
      <c r="K8" s="54" t="inlineStr">
        <is>
          <t xml:space="preserve">Add the sit's date range to the sitter-access check. Decision needed from Lynn: should sitters see the pet before the sit starts, and for how long after it ends? Prod has 0 sits today.</t>
        </is>
      </c>
    </row>
    <row r="9" spans="1:11" ht="64" customHeight="1">
      <c r="A9" s="56" t="inlineStr">
        <is>
          <t xml:space="preserve">PA-05</t>
        </is>
      </c>
      <c r="B9" s="56" t="inlineStr">
        <is>
          <t xml:space="preserve">P0</t>
        </is>
      </c>
      <c r="C9" s="54" t="inlineStr">
        <is>
          <t xml:space="preserve">Database functions</t>
        </is>
      </c>
      <c r="D9" s="60" t="inlineStr">
        <is>
          <t xml:space="preserve">Lock down server-only database functions that anyone, even logged out, can call. One of them lets a stranger permanently block email to any address.</t>
        </is>
      </c>
      <c r="E9" s="54" t="inlineStr">
        <is>
          <t xml:space="preserve">0068 P0-4, P1-7, P2; 0069 P2</t>
        </is>
      </c>
      <c r="F9" s="54" t="inlineStr">
        <is>
          <t xml:space="preserve">Lynn (Claude Code)</t>
        </is>
      </c>
      <c r="G9" s="54" t="inlineStr">
        <is>
          <t xml:space="preserve">Migration + Edge Function</t>
        </is>
      </c>
      <c r="H9" s="56" t="inlineStr">
        <is>
          <t xml:space="preserve">Not Started</t>
        </is>
      </c>
      <c r="I9" s="56" t="inlineStr">
        <is>
          <t xml:space="preserve">Yes</t>
        </is>
      </c>
      <c r="J9" s="56" t="inlineStr">
        <is>
          <t xml:space="preserve">Not written</t>
        </is>
      </c>
      <c r="K9" s="54" t="inlineStr">
        <is>
          <t xml:space="preserve">Revoke access from logged-out and logged-in users on every server-only function (staging is already correct, prod and dev aren't). Stop returning the email message ID to the browser. Rewrite the owner/sitter check functions to use the caller's own ID. Note: password resets are not affected by the email block (0069 correction).</t>
        </is>
      </c>
    </row>
    <row r="10" spans="1:11" ht="49" customHeight="1">
      <c r="A10" s="56" t="inlineStr">
        <is>
          <t xml:space="preserve">PA-06</t>
        </is>
      </c>
      <c r="B10" s="56" t="inlineStr">
        <is>
          <t xml:space="preserve">P0</t>
        </is>
      </c>
      <c r="C10" s="54" t="inlineStr">
        <is>
          <t xml:space="preserve">Data lifecycle</t>
        </is>
      </c>
      <c r="D10" s="60" t="inlineStr">
        <is>
          <t xml:space="preserve">Stop account deletion from erasing records the person entered on a shared pet (check-ins, observations, vaccinations).</t>
        </is>
      </c>
      <c r="E10" s="54" t="inlineStr">
        <is>
          <t xml:space="preserve">0068 P0-5</t>
        </is>
      </c>
      <c r="F10" s="54" t="inlineStr">
        <is>
          <t xml:space="preserve">Lynn (Claude Code)</t>
        </is>
      </c>
      <c r="G10" s="54" t="inlineStr">
        <is>
          <t xml:space="preserve">Migration + Tests</t>
        </is>
      </c>
      <c r="H10" s="56" t="inlineStr">
        <is>
          <t xml:space="preserve">Not Started</t>
        </is>
      </c>
      <c r="I10" s="56" t="inlineStr">
        <is>
          <t xml:space="preserve">Yes</t>
        </is>
      </c>
      <c r="J10" s="56" t="inlineStr">
        <is>
          <t xml:space="preserve">Not written</t>
        </is>
      </c>
      <c r="K10" s="54" t="inlineStr">
        <is>
          <t xml:space="preserve">Change the 'entered by' links on the record tables from 'delete with the account' to 'keep the record, clear the name'. Tests must have the departing person enter real records first and confirm they survive.</t>
        </is>
      </c>
    </row>
    <row r="11" spans="1:11" ht="49" customHeight="1">
      <c r="A11" s="56" t="inlineStr">
        <is>
          <t xml:space="preserve">PA-07</t>
        </is>
      </c>
      <c r="B11" s="56" t="inlineStr">
        <is>
          <t xml:space="preserve">P0</t>
        </is>
      </c>
      <c r="C11" s="54" t="inlineStr">
        <is>
          <t xml:space="preserve">Data lifecycle</t>
        </is>
      </c>
      <c r="D11" s="60" t="inlineStr">
        <is>
          <t xml:space="preserve">Fix delete-account so other co-owners keep access and the transferred pet keeps its photo and documents.</t>
        </is>
      </c>
      <c r="E11" s="54" t="inlineStr">
        <is>
          <t xml:space="preserve">0068 P0-6; 0068 P2</t>
        </is>
      </c>
      <c r="F11" s="54" t="inlineStr">
        <is>
          <t xml:space="preserve">Lynn (Claude Code)</t>
        </is>
      </c>
      <c r="G11" s="54" t="inlineStr">
        <is>
          <t xml:space="preserve">Edge Function + Tests</t>
        </is>
      </c>
      <c r="H11" s="56" t="inlineStr">
        <is>
          <t xml:space="preserve">Not Started</t>
        </is>
      </c>
      <c r="I11" s="56" t="inlineStr">
        <is>
          <t xml:space="preserve">Yes</t>
        </is>
      </c>
      <c r="J11" s="56" t="inlineStr">
        <is>
          <t xml:space="preserve">Not written</t>
        </is>
      </c>
      <c r="K11" s="54" t="inlineStr">
        <is>
          <t xml:space="preserve">Share one co-owner transfer helper with delete-pet (which already does this right). Move, don't delete, files belonging to transferred pets. Handle more than 100 files. Also fix the partial-failure case and the misleading header comment. Add a 3-person test with a photo and a scanned document.</t>
        </is>
      </c>
    </row>
    <row r="12" spans="1:11" ht="34" customHeight="1">
      <c r="A12" s="56" t="inlineStr">
        <is>
          <t xml:space="preserve">PA-08</t>
        </is>
      </c>
      <c r="B12" s="56" t="inlineStr">
        <is>
          <t xml:space="preserve">P0</t>
        </is>
      </c>
      <c r="C12" s="54" t="inlineStr">
        <is>
          <t xml:space="preserve">First-run journey</t>
        </is>
      </c>
      <c r="D12" s="60" t="inlineStr">
        <is>
          <t xml:space="preserve">Make the Terms and Privacy pages open for signed-out visitors. The links on the signup screen currently bounce to the login page.</t>
        </is>
      </c>
      <c r="E12" s="54" t="inlineStr">
        <is>
          <t xml:space="preserve">0068 P0-7</t>
        </is>
      </c>
      <c r="F12" s="54" t="inlineStr">
        <is>
          <t xml:space="preserve">Lynn (Claude Code)</t>
        </is>
      </c>
      <c r="G12" s="54" t="inlineStr">
        <is>
          <t xml:space="preserve">Frontend</t>
        </is>
      </c>
      <c r="H12" s="56" t="inlineStr">
        <is>
          <t xml:space="preserve">Not Started</t>
        </is>
      </c>
      <c r="I12" s="56" t="inlineStr">
        <is>
          <t xml:space="preserve">Yes</t>
        </is>
      </c>
      <c r="J12" s="56" t="inlineStr">
        <is>
          <t xml:space="preserve">Not written</t>
        </is>
      </c>
      <c r="K12" s="54" t="inlineStr">
        <is>
          <t xml:space="preserve">Move the 4 legal page routes outside the logged-in section of App.jsx. Add one Playwright test. Run design-system-check.</t>
        </is>
      </c>
    </row>
    <row r="13" spans="1:11" ht="49" customHeight="1">
      <c r="A13" s="56" t="inlineStr">
        <is>
          <t xml:space="preserve">PA-09</t>
        </is>
      </c>
      <c r="B13" s="56" t="inlineStr">
        <is>
          <t xml:space="preserve">P0</t>
        </is>
      </c>
      <c r="C13" s="54" t="inlineStr">
        <is>
          <t xml:space="preserve">First-run journey</t>
        </is>
      </c>
      <c r="D13" s="60" t="inlineStr">
        <is>
          <t xml:space="preserve">Make sure friend testers can reset a forgotten password, and that the app tells them if the reset email fails.</t>
        </is>
      </c>
      <c r="E13" s="54" t="inlineStr">
        <is>
          <t xml:space="preserve">0069 P0-2</t>
        </is>
      </c>
      <c r="F13" s="54" t="inlineStr">
        <is>
          <t xml:space="preserve">Lynn / Claude Code</t>
        </is>
      </c>
      <c r="G13" s="54" t="inlineStr">
        <is>
          <t xml:space="preserve">Dashboard check + Frontend</t>
        </is>
      </c>
      <c r="H13" s="56" t="inlineStr">
        <is>
          <t xml:space="preserve">Not Started</t>
        </is>
      </c>
      <c r="I13" s="56" t="inlineStr">
        <is>
          <t xml:space="preserve">Yes</t>
        </is>
      </c>
      <c r="J13" s="56" t="inlineStr">
        <is>
          <t xml:space="preserve">Not written</t>
        </is>
      </c>
      <c r="K13" s="54" t="inlineStr">
        <is>
          <t xml:space="preserve">Lynn: check Supabase &gt; prod &gt; Authentication &gt; Emails &gt; SMTP Settings. If custom SMTP is off, Supabase's built-in mailer only delivers to team addresses. Code: ForgotPassword.jsx currently always says 'sent', even when it failed.</t>
        </is>
      </c>
    </row>
    <row r="14" spans="1:11" ht="49" customHeight="1">
      <c r="A14" s="56" t="inlineStr">
        <is>
          <t xml:space="preserve">PA-10</t>
        </is>
      </c>
      <c r="B14" s="56" t="inlineStr">
        <is>
          <t xml:space="preserve">P1</t>
        </is>
      </c>
      <c r="C14" s="54" t="inlineStr">
        <is>
          <t xml:space="preserve">Abuse &amp; cost</t>
        </is>
      </c>
      <c r="D14" s="60" t="inlineStr">
        <is>
          <t xml:space="preserve">Add ownership checks and a rate limit to the co-owner and sitter invite emails. Any signed-in user can send branded email to any address with no limit.</t>
        </is>
      </c>
      <c r="E14" s="54" t="inlineStr">
        <is>
          <t xml:space="preserve">0068 P1-1</t>
        </is>
      </c>
      <c r="F14" s="54" t="inlineStr">
        <is>
          <t xml:space="preserve">Lynn (Claude Code)</t>
        </is>
      </c>
      <c r="G14" s="54" t="inlineStr">
        <is>
          <t xml:space="preserve">Edge Function</t>
        </is>
      </c>
      <c r="H14" s="56" t="inlineStr">
        <is>
          <t xml:space="preserve">Not Started</t>
        </is>
      </c>
      <c r="I14" s="56" t="inlineStr">
        <is>
          <t xml:space="preserve">No</t>
        </is>
      </c>
      <c r="J14" s="56" t="inlineStr">
        <is>
          <t xml:space="preserve">Not written</t>
        </is>
      </c>
      <c r="K14" s="54" t="inlineStr">
        <is>
          <t xml:space="preserve">Check the caller owns the pet (and look up the pet name server-side). Add a per-user limit (e.g. 10 an hour). Give the same response whether or not the address has an account.</t>
        </is>
      </c>
    </row>
    <row r="15" spans="1:11" ht="49" customHeight="1">
      <c r="A15" s="56" t="inlineStr">
        <is>
          <t xml:space="preserve">PA-11</t>
        </is>
      </c>
      <c r="B15" s="56" t="inlineStr">
        <is>
          <t xml:space="preserve">P1</t>
        </is>
      </c>
      <c r="C15" s="54" t="inlineStr">
        <is>
          <t xml:space="preserve">Abuse &amp; cost</t>
        </is>
      </c>
      <c r="D15" s="60" t="inlineStr">
        <is>
          <t xml:space="preserve">Close the open AI proxy. Any signed-in user can send any prompt to Claude, and the endpoint will fetch any URL it's given.</t>
        </is>
      </c>
      <c r="E15" s="54" t="inlineStr">
        <is>
          <t xml:space="preserve">0068 P1-2</t>
        </is>
      </c>
      <c r="F15" s="54" t="inlineStr">
        <is>
          <t xml:space="preserve">Lynn / Claude Code</t>
        </is>
      </c>
      <c r="G15" s="54" t="inlineStr">
        <is>
          <t xml:space="preserve">Edge Function + Dashboard</t>
        </is>
      </c>
      <c r="H15" s="56" t="inlineStr">
        <is>
          <t xml:space="preserve">Not Started</t>
        </is>
      </c>
      <c r="I15" s="56" t="inlineStr">
        <is>
          <t xml:space="preserve">No</t>
        </is>
      </c>
      <c r="J15" s="56" t="inlineStr">
        <is>
          <t xml:space="preserve">Not written</t>
        </is>
      </c>
      <c r="K15" s="54" t="inlineStr">
        <is>
          <t xml:space="preserve">Move prompts and safety rules server-side, only accept this project's own file links with a size cap, add a daily per-user cap, and report AI failures to Sentry. Lynn: set a monthly spend limit in the Anthropic console.</t>
        </is>
      </c>
    </row>
    <row r="16" spans="1:11" ht="49" customHeight="1">
      <c r="A16" s="56" t="inlineStr">
        <is>
          <t xml:space="preserve">PA-12</t>
        </is>
      </c>
      <c r="B16" s="56" t="inlineStr">
        <is>
          <t xml:space="preserve">P1</t>
        </is>
      </c>
      <c r="C16" s="54" t="inlineStr">
        <is>
          <t xml:space="preserve">Features</t>
        </is>
      </c>
      <c r="D16" s="60" t="inlineStr">
        <is>
          <t xml:space="preserve">Rebuild the Vet Report's Wellness Overview from daily check-ins (Vibe). It currently shows the retired 'Health Score /10' and leaves out check-ins entirely.</t>
        </is>
      </c>
      <c r="E16" s="54" t="inlineStr">
        <is>
          <t xml:space="preserve">0068 P1-3</t>
        </is>
      </c>
      <c r="F16" s="54" t="inlineStr">
        <is>
          <t xml:space="preserve">Lynn (Claude Code)</t>
        </is>
      </c>
      <c r="G16" s="54" t="inlineStr">
        <is>
          <t xml:space="preserve">Edge Function</t>
        </is>
      </c>
      <c r="H16" s="56" t="inlineStr">
        <is>
          <t xml:space="preserve">Not Started</t>
        </is>
      </c>
      <c r="I16" s="56" t="inlineStr">
        <is>
          <t xml:space="preserve">No</t>
        </is>
      </c>
      <c r="J16" s="56" t="inlineStr">
        <is>
          <t xml:space="preserve">Not written</t>
        </is>
      </c>
      <c r="K16" s="54" t="inlineStr">
        <is>
          <t xml:space="preserve">Follow the locked spec 0012 model (Vibe and symptom count kept separate). Drop the dead wellness_scores read and fix the outdated header comment. Every alpha user's report will be missing check-ins until this ships.</t>
        </is>
      </c>
    </row>
    <row r="17" spans="1:11" ht="34" customHeight="1">
      <c r="A17" s="56" t="inlineStr">
        <is>
          <t xml:space="preserve">PA-13</t>
        </is>
      </c>
      <c r="B17" s="56" t="inlineStr">
        <is>
          <t xml:space="preserve">P1</t>
        </is>
      </c>
      <c r="C17" s="54" t="inlineStr">
        <is>
          <t xml:space="preserve">Legal &amp; consent</t>
        </is>
      </c>
      <c r="D17" s="60" t="inlineStr">
        <is>
          <t xml:space="preserve">Capture Terms/Privacy consent from invited co-owners and sitters, and ask existing accounts that never gave it.</t>
        </is>
      </c>
      <c r="E17" s="54" t="inlineStr">
        <is>
          <t xml:space="preserve">0068 P1-4</t>
        </is>
      </c>
      <c r="F17" s="54" t="inlineStr">
        <is>
          <t xml:space="preserve">Lynn (Claude Code)</t>
        </is>
      </c>
      <c r="G17" s="54" t="inlineStr">
        <is>
          <t xml:space="preserve">Frontend + Migration</t>
        </is>
      </c>
      <c r="H17" s="56" t="inlineStr">
        <is>
          <t xml:space="preserve">Not Started</t>
        </is>
      </c>
      <c r="I17" s="56" t="inlineStr">
        <is>
          <t xml:space="preserve">No</t>
        </is>
      </c>
      <c r="J17" s="56" t="inlineStr">
        <is>
          <t xml:space="preserve">Not written</t>
        </is>
      </c>
      <c r="K17" s="54" t="inlineStr">
        <is>
          <t xml:space="preserve">Add a consent checkbox to the Accept Invite page, plus a one-time in-app prompt for any account with no consent on record (11 of 13 prod accounts). Make the consent fields write-once.</t>
        </is>
      </c>
    </row>
    <row r="18" spans="1:11" ht="49" customHeight="1">
      <c r="A18" s="56" t="inlineStr">
        <is>
          <t xml:space="preserve">PA-14</t>
        </is>
      </c>
      <c r="B18" s="56" t="inlineStr">
        <is>
          <t xml:space="preserve">P1</t>
        </is>
      </c>
      <c r="C18" s="54" t="inlineStr">
        <is>
          <t xml:space="preserve">Legal &amp; consent</t>
        </is>
      </c>
      <c r="D18" s="60" t="inlineStr">
        <is>
          <t xml:space="preserve">Make deletion match the Privacy Policy's 'permanently delete all associated data'.</t>
        </is>
      </c>
      <c r="E18" s="54" t="inlineStr">
        <is>
          <t xml:space="preserve">0068 P1-5</t>
        </is>
      </c>
      <c r="F18" s="54" t="inlineStr">
        <is>
          <t xml:space="preserve">Lynn / Claude Code</t>
        </is>
      </c>
      <c r="G18" s="54" t="inlineStr">
        <is>
          <t xml:space="preserve">Policy wording + Edge Function + Backup job</t>
        </is>
      </c>
      <c r="H18" s="56" t="inlineStr">
        <is>
          <t xml:space="preserve">Not Started</t>
        </is>
      </c>
      <c r="I18" s="56" t="inlineStr">
        <is>
          <t xml:space="preserve">No</t>
        </is>
      </c>
      <c r="J18" s="56" t="inlineStr">
        <is>
          <t xml:space="preserve">Not written</t>
        </is>
      </c>
      <c r="K18" s="54" t="inlineStr">
        <is>
          <t xml:space="preserve">Policy should mention that backups age out. Prune deleted users' files from the R2 storage backup, delete scanned documents when a pet is deleted, remove sitter rows when the sitter deletes their account, and decide what to say about email logs.</t>
        </is>
      </c>
    </row>
    <row r="19" spans="1:11" ht="49" customHeight="1">
      <c r="A19" s="56" t="inlineStr">
        <is>
          <t xml:space="preserve">PA-15</t>
        </is>
      </c>
      <c r="B19" s="56" t="inlineStr">
        <is>
          <t xml:space="preserve">P1</t>
        </is>
      </c>
      <c r="C19" s="54" t="inlineStr">
        <is>
          <t xml:space="preserve">Silent failures</t>
        </is>
      </c>
      <c r="D19" s="60" t="inlineStr">
        <is>
          <t xml:space="preserve">Send backend and frontend failures to Sentry, including errors on Lynn's own account.</t>
        </is>
      </c>
      <c r="E19" s="54" t="inlineStr">
        <is>
          <t xml:space="preserve">0068 P1-6; 0069 repo note</t>
        </is>
      </c>
      <c r="F19" s="54" t="inlineStr">
        <is>
          <t xml:space="preserve">Lynn (Claude Code)</t>
        </is>
      </c>
      <c r="G19" s="54" t="inlineStr">
        <is>
          <t xml:space="preserve">Edge Function + Frontend</t>
        </is>
      </c>
      <c r="H19" s="56" t="inlineStr">
        <is>
          <t xml:space="preserve">Not Started</t>
        </is>
      </c>
      <c r="I19" s="56" t="inlineStr">
        <is>
          <t xml:space="preserve">No</t>
        </is>
      </c>
      <c r="J19" s="56" t="inlineStr">
        <is>
          <t xml:space="preserve">Not written</t>
        </is>
      </c>
      <c r="K19" s="54" t="inlineStr">
        <is>
          <t xml:space="preserve">Add a shared helper that reports and responds in one step. Report data-loading errors from the frontend. Stop filtering out the 'owner' account type. Fix the invite dialog's stuck spinner when a save fails.</t>
        </is>
      </c>
    </row>
    <row r="20" spans="1:11" ht="34" customHeight="1">
      <c r="A20" s="56" t="inlineStr">
        <is>
          <t xml:space="preserve">PA-16</t>
        </is>
      </c>
      <c r="B20" s="56" t="inlineStr">
        <is>
          <t xml:space="preserve">P1</t>
        </is>
      </c>
      <c r="C20" s="54" t="inlineStr">
        <is>
          <t xml:space="preserve">Process</t>
        </is>
      </c>
      <c r="D20" s="60" t="inlineStr">
        <is>
          <t xml:space="preserve">Commit the cross-project comparison script and run it after every migration.</t>
        </is>
      </c>
      <c r="E20" s="54" t="inlineStr">
        <is>
          <t xml:space="preserve">0068 P1-7 / AC3</t>
        </is>
      </c>
      <c r="F20" s="54" t="inlineStr">
        <is>
          <t xml:space="preserve">Lynn (Claude Code)</t>
        </is>
      </c>
      <c r="G20" s="54" t="inlineStr">
        <is>
          <t xml:space="preserve">Tooling + Docs</t>
        </is>
      </c>
      <c r="H20" s="56" t="inlineStr">
        <is>
          <t xml:space="preserve">Not Started</t>
        </is>
      </c>
      <c r="I20" s="56" t="inlineStr">
        <is>
          <t xml:space="preserve">No</t>
        </is>
      </c>
      <c r="J20" s="56" t="inlineStr">
        <is>
          <t xml:space="preserve">Not written</t>
        </is>
      </c>
      <c r="K20" s="54" t="inlineStr">
        <is>
          <t xml:space="preserve">Compares functions, permissions, rules, cron, buckets, triggers and columns across dev, staging and prod. Add it to the deploy checklist in 0006 Technical Standards §11.</t>
        </is>
      </c>
    </row>
    <row r="21" spans="1:11" ht="34" customHeight="1">
      <c r="A21" s="56" t="inlineStr">
        <is>
          <t xml:space="preserve">PA-17</t>
        </is>
      </c>
      <c r="B21" s="56" t="inlineStr">
        <is>
          <t xml:space="preserve">P1</t>
        </is>
      </c>
      <c r="C21" s="54" t="inlineStr">
        <is>
          <t xml:space="preserve">Config</t>
        </is>
      </c>
      <c r="D21" s="60" t="inlineStr">
        <is>
          <t xml:space="preserve">Set prod's allowed-website list (CORS_ALLOWED_ORIGINS) and settle the real domain: www.wyskerwatch.com or wyskerwatch.com.</t>
        </is>
      </c>
      <c r="E21" s="54" t="inlineStr">
        <is>
          <t xml:space="preserve">0068 P1-8; 0069 docs drift</t>
        </is>
      </c>
      <c r="F21" s="54" t="inlineStr">
        <is>
          <t xml:space="preserve">Lynn</t>
        </is>
      </c>
      <c r="G21" s="54" t="inlineStr">
        <is>
          <t xml:space="preserve">Decision + Config</t>
        </is>
      </c>
      <c r="H21" s="56" t="inlineStr">
        <is>
          <t xml:space="preserve">Not Started</t>
        </is>
      </c>
      <c r="I21" s="56" t="inlineStr">
        <is>
          <t xml:space="preserve">No</t>
        </is>
      </c>
      <c r="J21" s="56" t="inlineStr">
        <is>
          <t xml:space="preserve">Not written</t>
        </is>
      </c>
      <c r="K21" s="54" t="inlineStr">
        <is>
          <t xml:space="preserve">Still unset on prod. Three code comments disagree about which domain is canonical. Signup will fail for anyone arriving at the other domain unless it redirects. Lynn, 2026-10-24: www.wyskerwatch.com is the official address; wyskerwatch.com (no www) is also reachable and listed in Cloudflare. So: set CORS_ALLOWED_ORIGINS on prod to both, or add a Cloudflare redirect from the bare domain to www. Couldn't check from here whether a redirect already exists (Bot Fight Mode blocks automated requests).</t>
        </is>
      </c>
    </row>
    <row r="22" spans="1:11" ht="49" customHeight="1">
      <c r="A22" s="56" t="inlineStr">
        <is>
          <t xml:space="preserve">PA-18</t>
        </is>
      </c>
      <c r="B22" s="56" t="inlineStr">
        <is>
          <t xml:space="preserve">P1</t>
        </is>
      </c>
      <c r="C22" s="54" t="inlineStr">
        <is>
          <t xml:space="preserve">Account security</t>
        </is>
      </c>
      <c r="D22" s="60" t="inlineStr">
        <is>
          <t xml:space="preserve">Stop people from pre-registering an account at someone else's email address and taking it over after the real owner clicks the confirmation link.</t>
        </is>
      </c>
      <c r="E22" s="54" t="inlineStr">
        <is>
          <t xml:space="preserve">0069 P1-1; 0069 P2</t>
        </is>
      </c>
      <c r="F22" s="54" t="inlineStr">
        <is>
          <t xml:space="preserve">Lynn (Claude Code)</t>
        </is>
      </c>
      <c r="G22" s="54" t="inlineStr">
        <is>
          <t xml:space="preserve">Frontend + Edge Function + Migration</t>
        </is>
      </c>
      <c r="H22" s="56" t="inlineStr">
        <is>
          <t xml:space="preserve">Not Started</t>
        </is>
      </c>
      <c r="I22" s="56" t="inlineStr">
        <is>
          <t xml:space="preserve">No</t>
        </is>
      </c>
      <c r="J22" s="56" t="inlineStr">
        <is>
          <t xml:space="preserve">Not written</t>
        </is>
      </c>
      <c r="K22" s="54" t="inlineStr">
        <is>
          <t xml:space="preserve">Have the inbox owner set the password at the confirmation step (like Accept Invite does) and sign out other sessions. Invite claims should also require a confirmed email. Decision: OK to move password entry to the confirmation step?</t>
        </is>
      </c>
    </row>
    <row r="23" spans="1:11" ht="49" customHeight="1">
      <c r="A23" s="56" t="inlineStr">
        <is>
          <t xml:space="preserve">PA-19</t>
        </is>
      </c>
      <c r="B23" s="56" t="inlineStr">
        <is>
          <t xml:space="preserve">P1</t>
        </is>
      </c>
      <c r="C23" s="54" t="inlineStr">
        <is>
          <t xml:space="preserve">Account security</t>
        </is>
      </c>
      <c r="D23" s="60" t="inlineStr">
        <is>
          <t xml:space="preserve">Turn off Supabase's built-in public signup on all 3 projects, so every account goes through our sign-up checks (consent, rate limits, password rules).</t>
        </is>
      </c>
      <c r="E23" s="54" t="inlineStr">
        <is>
          <t xml:space="preserve">0069 P1-2</t>
        </is>
      </c>
      <c r="F23" s="54" t="inlineStr">
        <is>
          <t xml:space="preserve">Lynn</t>
        </is>
      </c>
      <c r="G23" s="54" t="inlineStr">
        <is>
          <t xml:space="preserve">Dashboard</t>
        </is>
      </c>
      <c r="H23" s="56" t="inlineStr">
        <is>
          <t xml:space="preserve">Not Started</t>
        </is>
      </c>
      <c r="I23" s="56" t="inlineStr">
        <is>
          <t xml:space="preserve">No</t>
        </is>
      </c>
      <c r="J23" s="56" t="inlineStr">
        <is>
          <t xml:space="preserve">Not written</t>
        </is>
      </c>
      <c r="K23" s="54" t="inlineStr">
        <is>
          <t xml:space="preserve">Cheap; worth doing before alpha. Verify on dev first that sign-up and invites still work.</t>
        </is>
      </c>
    </row>
    <row r="24" spans="1:11" ht="34" customHeight="1">
      <c r="A24" s="56" t="inlineStr">
        <is>
          <t xml:space="preserve">PA-20</t>
        </is>
      </c>
      <c r="B24" s="56" t="inlineStr">
        <is>
          <t xml:space="preserve">P1</t>
        </is>
      </c>
      <c r="C24" s="54" t="inlineStr">
        <is>
          <t xml:space="preserve">First-run journey</t>
        </is>
      </c>
      <c r="D24" s="60" t="inlineStr">
        <is>
          <t xml:space="preserve">Fix the 'Continue with Google' button. Google login is switched off, so tapping it leads to an error page.</t>
        </is>
      </c>
      <c r="E24" s="54" t="inlineStr">
        <is>
          <t xml:space="preserve">0069 P1-3</t>
        </is>
      </c>
      <c r="F24" s="54" t="inlineStr">
        <is>
          <t xml:space="preserve">Lynn / Claude Code</t>
        </is>
      </c>
      <c r="G24" s="54" t="inlineStr">
        <is>
          <t xml:space="preserve">Decision + Dashboard or Frontend</t>
        </is>
      </c>
      <c r="H24" s="56" t="inlineStr">
        <is>
          <t xml:space="preserve">Not Started</t>
        </is>
      </c>
      <c r="I24" s="56" t="inlineStr">
        <is>
          <t xml:space="preserve">No</t>
        </is>
      </c>
      <c r="J24" s="56" t="inlineStr">
        <is>
          <t xml:space="preserve">Not written</t>
        </is>
      </c>
      <c r="K24" s="54" t="inlineStr">
        <is>
          <t xml:space="preserve">Decision: enable Google sign-in, or hide the button until it's set up (one line per page). Cheap; worth doing before alpha, since it's on the very first screen.</t>
        </is>
      </c>
    </row>
    <row r="25" spans="1:11" ht="34" customHeight="1">
      <c r="A25" s="56" t="inlineStr">
        <is>
          <t xml:space="preserve">PA-21</t>
        </is>
      </c>
      <c r="B25" s="56" t="inlineStr">
        <is>
          <t xml:space="preserve">P1</t>
        </is>
      </c>
      <c r="C25" s="54" t="inlineStr">
        <is>
          <t xml:space="preserve">Config</t>
        </is>
      </c>
      <c r="D25" s="60" t="inlineStr">
        <is>
          <t xml:space="preserve">Record the login check for the two ops-only functions explicitly in supabase/config.toml.</t>
        </is>
      </c>
      <c r="E25" s="54" t="inlineStr">
        <is>
          <t xml:space="preserve">0069 P1-4; 0069 docs drift</t>
        </is>
      </c>
      <c r="F25" s="54" t="inlineStr">
        <is>
          <t xml:space="preserve">Lynn (Claude Code)</t>
        </is>
      </c>
      <c r="G25" s="54" t="inlineStr">
        <is>
          <t xml:space="preserve">Config</t>
        </is>
      </c>
      <c r="H25" s="56" t="inlineStr">
        <is>
          <t xml:space="preserve">Not Started</t>
        </is>
      </c>
      <c r="I25" s="56" t="inlineStr">
        <is>
          <t xml:space="preserve">No</t>
        </is>
      </c>
      <c r="J25" s="56" t="inlineStr">
        <is>
          <t xml:space="preserve">Not written</t>
        </is>
      </c>
      <c r="K25" s="54" t="inlineStr">
        <is>
          <t xml:space="preserve">Not exploitable today, but their safety depends on an unrecorded default. Also fix the send-email comment about the newer key format.</t>
        </is>
      </c>
    </row>
    <row r="26" spans="1:11" ht="34" customHeight="1">
      <c r="A26" s="56" t="inlineStr">
        <is>
          <t xml:space="preserve">PA-22</t>
        </is>
      </c>
      <c r="B26" s="56" t="inlineStr">
        <is>
          <t xml:space="preserve">P1</t>
        </is>
      </c>
      <c r="C26" s="54" t="inlineStr">
        <is>
          <t xml:space="preserve">Process</t>
        </is>
      </c>
      <c r="D26" s="60" t="inlineStr">
        <is>
          <t xml:space="preserve">Adopt standing security rules so future specs don't need to ask for basic safety.</t>
        </is>
      </c>
      <c r="E26" s="54" t="inlineStr">
        <is>
          <t xml:space="preserve">Follow-up from 0068 discussion</t>
        </is>
      </c>
      <c r="F26" s="54" t="inlineStr">
        <is>
          <t xml:space="preserve">Lynn</t>
        </is>
      </c>
      <c r="G26" s="54" t="inlineStr">
        <is>
          <t xml:space="preserve">Decision + Docs</t>
        </is>
      </c>
      <c r="H26" s="56" t="inlineStr">
        <is>
          <t xml:space="preserve">Not Started</t>
        </is>
      </c>
      <c r="I26" s="56" t="inlineStr">
        <is>
          <t xml:space="preserve">No</t>
        </is>
      </c>
      <c r="J26" s="56" t="inlineStr">
        <is>
          <t xml:space="preserve">Not written</t>
        </is>
      </c>
      <c r="K26" s="54" t="inlineStr">
        <is>
          <t xml:space="preserve">A stranger test for every new access rule or function, test data with multiple co-owners plus real records and files, and Supabase's security scanner in CI. Needs its own spec for Lynn's review.</t>
        </is>
      </c>
    </row>
    <row r="27" spans="1:11" ht="34" customHeight="1">
      <c r="A27" s="56" t="inlineStr">
        <is>
          <t xml:space="preserve">PA-23</t>
        </is>
      </c>
      <c r="B27" s="56" t="inlineStr">
        <is>
          <t xml:space="preserve">P1</t>
        </is>
      </c>
      <c r="C27" s="54" t="inlineStr">
        <is>
          <t xml:space="preserve">Docs</t>
        </is>
      </c>
      <c r="D27" s="60" t="inlineStr">
        <is>
          <t xml:space="preserve">Correct spec 0066's 'identical across all 3 projects' result and 0068 P0-4's 'password resets' wording.</t>
        </is>
      </c>
      <c r="E27" s="54" t="inlineStr">
        <is>
          <t xml:space="preserve">0068 docs drift; 0069 docs drift</t>
        </is>
      </c>
      <c r="F27" s="54" t="inlineStr">
        <is>
          <t xml:space="preserve">Lynn (Claude Code)</t>
        </is>
      </c>
      <c r="G27" s="54" t="inlineStr">
        <is>
          <t xml:space="preserve">Docs</t>
        </is>
      </c>
      <c r="H27" s="56" t="inlineStr">
        <is>
          <t xml:space="preserve">Not Started</t>
        </is>
      </c>
      <c r="I27" s="56" t="inlineStr">
        <is>
          <t xml:space="preserve">No</t>
        </is>
      </c>
      <c r="J27" s="56" t="inlineStr">
        <is>
          <t xml:space="preserve">Not written</t>
        </is>
      </c>
      <c r="K27" s="54" t="inlineStr">
        <is>
          <t xml:space="preserve">Function permissions differed (see PA-05). Password resets go through Supabase's own mailer, so they aren't blocked by the fake-bounce issue. PR #22 (merged 2026-10-24) still carries the 'identical' wording in 0066's Results. Root cause: 0066's step-0 check compared function code and security settings, but not who may run each function.</t>
        </is>
      </c>
    </row>
    <row r="28" spans="1:11" ht="49" customHeight="1">
      <c r="A28" s="56" t="inlineStr">
        <is>
          <t xml:space="preserve">PA-24</t>
        </is>
      </c>
      <c r="B28" s="56" t="inlineStr">
        <is>
          <t xml:space="preserve">P2</t>
        </is>
      </c>
      <c r="C28" s="54" t="inlineStr">
        <is>
          <t xml:space="preserve">Access control</t>
        </is>
      </c>
      <c r="D28" s="60" t="inlineStr">
        <is>
          <t xml:space="preserve">Limit what co-owners can do: today any co-owner can hand the pet's primary ownership to anyone, or delete the pet directly, skipping the transfer logic.</t>
        </is>
      </c>
      <c r="E28" s="54" t="inlineStr">
        <is>
          <t xml:space="preserve">0068 P2</t>
        </is>
      </c>
      <c r="F28" s="54" t="inlineStr">
        <is>
          <t xml:space="preserve">Lynn (Claude Code)</t>
        </is>
      </c>
      <c r="G28" s="54" t="inlineStr">
        <is>
          <t xml:space="preserve">Migration</t>
        </is>
      </c>
      <c r="H28" s="56" t="inlineStr">
        <is>
          <t xml:space="preserve">Not Started</t>
        </is>
      </c>
      <c r="I28" s="56" t="inlineStr">
        <is>
          <t xml:space="preserve">No</t>
        </is>
      </c>
      <c r="J28" s="56" t="inlineStr">
        <is>
          <t xml:space="preserve">Not written</t>
        </is>
      </c>
      <c r="K28" s="54"/>
    </row>
    <row r="29" spans="1:11" ht="34" customHeight="1">
      <c r="A29" s="56" t="inlineStr">
        <is>
          <t xml:space="preserve">PA-25</t>
        </is>
      </c>
      <c r="B29" s="56" t="inlineStr">
        <is>
          <t xml:space="preserve">P2</t>
        </is>
      </c>
      <c r="C29" s="54" t="inlineStr">
        <is>
          <t xml:space="preserve">Access control</t>
        </is>
      </c>
      <c r="D29" s="60" t="inlineStr">
        <is>
          <t xml:space="preserve">Make the 'entered by' field on new records always the person actually signed in.</t>
        </is>
      </c>
      <c r="E29" s="54" t="inlineStr">
        <is>
          <t xml:space="preserve">0068 P2</t>
        </is>
      </c>
      <c r="F29" s="54" t="inlineStr">
        <is>
          <t xml:space="preserve">Lynn (Claude Code)</t>
        </is>
      </c>
      <c r="G29" s="54" t="inlineStr">
        <is>
          <t xml:space="preserve">Migration</t>
        </is>
      </c>
      <c r="H29" s="56" t="inlineStr">
        <is>
          <t xml:space="preserve">Not Started</t>
        </is>
      </c>
      <c r="I29" s="56" t="inlineStr">
        <is>
          <t xml:space="preserve">No</t>
        </is>
      </c>
      <c r="J29" s="56" t="inlineStr">
        <is>
          <t xml:space="preserve">Not written</t>
        </is>
      </c>
      <c r="K29" s="54"/>
    </row>
    <row r="30" spans="1:11" ht="34" customHeight="1">
      <c r="A30" s="56" t="inlineStr">
        <is>
          <t xml:space="preserve">PA-26</t>
        </is>
      </c>
      <c r="B30" s="56" t="inlineStr">
        <is>
          <t xml:space="preserve">P2</t>
        </is>
      </c>
      <c r="C30" s="54" t="inlineStr">
        <is>
          <t xml:space="preserve">Access control</t>
        </is>
      </c>
      <c r="D30" s="60" t="inlineStr">
        <is>
          <t xml:space="preserve">Make sure sitter log entries can only be attached to pets in that sit.</t>
        </is>
      </c>
      <c r="E30" s="54" t="inlineStr">
        <is>
          <t xml:space="preserve">0069 P2</t>
        </is>
      </c>
      <c r="F30" s="54" t="inlineStr">
        <is>
          <t xml:space="preserve">Lynn (Claude Code)</t>
        </is>
      </c>
      <c r="G30" s="54" t="inlineStr">
        <is>
          <t xml:space="preserve">Migration</t>
        </is>
      </c>
      <c r="H30" s="56" t="inlineStr">
        <is>
          <t xml:space="preserve">Not Started</t>
        </is>
      </c>
      <c r="I30" s="56" t="inlineStr">
        <is>
          <t xml:space="preserve">No</t>
        </is>
      </c>
      <c r="J30" s="56" t="inlineStr">
        <is>
          <t xml:space="preserve">Not written</t>
        </is>
      </c>
      <c r="K30" s="54"/>
    </row>
    <row r="31" spans="1:11" ht="34" customHeight="1">
      <c r="A31" s="56" t="inlineStr">
        <is>
          <t xml:space="preserve">PA-27</t>
        </is>
      </c>
      <c r="B31" s="56" t="inlineStr">
        <is>
          <t xml:space="preserve">P2</t>
        </is>
      </c>
      <c r="C31" s="54" t="inlineStr">
        <is>
          <t xml:space="preserve">Access control</t>
        </is>
      </c>
      <c r="D31" s="60" t="inlineStr">
        <is>
          <t xml:space="preserve">Make profile email read-only and match sitter invites on the verified login email.</t>
        </is>
      </c>
      <c r="E31" s="54" t="inlineStr">
        <is>
          <t xml:space="preserve">0069 P2</t>
        </is>
      </c>
      <c r="F31" s="54" t="inlineStr">
        <is>
          <t xml:space="preserve">Lynn (Claude Code)</t>
        </is>
      </c>
      <c r="G31" s="54" t="inlineStr">
        <is>
          <t xml:space="preserve">Migration</t>
        </is>
      </c>
      <c r="H31" s="56" t="inlineStr">
        <is>
          <t xml:space="preserve">Not Started</t>
        </is>
      </c>
      <c r="I31" s="56" t="inlineStr">
        <is>
          <t xml:space="preserve">No</t>
        </is>
      </c>
      <c r="J31" s="56" t="inlineStr">
        <is>
          <t xml:space="preserve">Not written</t>
        </is>
      </c>
      <c r="K31" s="54" t="inlineStr">
        <is>
          <t xml:space="preserve">Today someone could change their profile email to another person's and see that person's sitter-invite rows (no pet data).</t>
        </is>
      </c>
    </row>
    <row r="32" spans="1:11" ht="34" customHeight="1">
      <c r="A32" s="56" t="inlineStr">
        <is>
          <t xml:space="preserve">PA-28</t>
        </is>
      </c>
      <c r="B32" s="56" t="inlineStr">
        <is>
          <t xml:space="preserve">P2</t>
        </is>
      </c>
      <c r="C32" s="54" t="inlineStr">
        <is>
          <t xml:space="preserve">Features</t>
        </is>
      </c>
      <c r="D32" s="60" t="inlineStr">
        <is>
          <t xml:space="preserve">Keep sitter-only pets out of owner-only flows (Scan Record matching, Edit Pet, Vet Report).</t>
        </is>
      </c>
      <c r="E32" s="54" t="inlineStr">
        <is>
          <t xml:space="preserve">0069 P2</t>
        </is>
      </c>
      <c r="F32" s="54" t="inlineStr">
        <is>
          <t xml:space="preserve">Lynn (Claude Code)</t>
        </is>
      </c>
      <c r="G32" s="54" t="inlineStr">
        <is>
          <t xml:space="preserve">Frontend</t>
        </is>
      </c>
      <c r="H32" s="56" t="inlineStr">
        <is>
          <t xml:space="preserve">Not Started</t>
        </is>
      </c>
      <c r="I32" s="56" t="inlineStr">
        <is>
          <t xml:space="preserve">No</t>
        </is>
      </c>
      <c r="J32" s="56" t="inlineStr">
        <is>
          <t xml:space="preserve">Not written</t>
        </is>
      </c>
      <c r="K32" s="54"/>
    </row>
    <row r="33" spans="1:11" ht="34" customHeight="1">
      <c r="A33" s="56" t="inlineStr">
        <is>
          <t xml:space="preserve">PA-29</t>
        </is>
      </c>
      <c r="B33" s="56" t="inlineStr">
        <is>
          <t xml:space="preserve">P2</t>
        </is>
      </c>
      <c r="C33" s="54" t="inlineStr">
        <is>
          <t xml:space="preserve">Database functions</t>
        </is>
      </c>
      <c r="D33" s="60" t="inlineStr">
        <is>
          <t xml:space="preserve">Set a fixed search path on 3 database functions (security-scanner warning).</t>
        </is>
      </c>
      <c r="E33" s="54" t="inlineStr">
        <is>
          <t xml:space="preserve">0068 P2</t>
        </is>
      </c>
      <c r="F33" s="54" t="inlineStr">
        <is>
          <t xml:space="preserve">Lynn (Claude Code)</t>
        </is>
      </c>
      <c r="G33" s="54" t="inlineStr">
        <is>
          <t xml:space="preserve">Migration</t>
        </is>
      </c>
      <c r="H33" s="56" t="inlineStr">
        <is>
          <t xml:space="preserve">Not Started</t>
        </is>
      </c>
      <c r="I33" s="56" t="inlineStr">
        <is>
          <t xml:space="preserve">No</t>
        </is>
      </c>
      <c r="J33" s="56" t="inlineStr">
        <is>
          <t xml:space="preserve">Not written</t>
        </is>
      </c>
      <c r="K33" s="54" t="inlineStr">
        <is>
          <t xml:space="preserve">handle_new_user, classify_account_type, set_updated_at.</t>
        </is>
      </c>
    </row>
    <row r="34" spans="1:11" ht="29" customHeight="1">
      <c r="A34" s="56" t="inlineStr">
        <is>
          <t xml:space="preserve">PA-30</t>
        </is>
      </c>
      <c r="B34" s="56" t="inlineStr">
        <is>
          <t xml:space="preserve">P2</t>
        </is>
      </c>
      <c r="C34" s="54" t="inlineStr">
        <is>
          <t xml:space="preserve">Account security</t>
        </is>
      </c>
      <c r="D34" s="60" t="inlineStr">
        <is>
          <t xml:space="preserve">Turn on leaked-password protection in Supabase Auth.</t>
        </is>
      </c>
      <c r="E34" s="54" t="inlineStr">
        <is>
          <t xml:space="preserve">0068 P2</t>
        </is>
      </c>
      <c r="F34" s="54" t="inlineStr">
        <is>
          <t xml:space="preserve">Lynn</t>
        </is>
      </c>
      <c r="G34" s="54" t="inlineStr">
        <is>
          <t xml:space="preserve">Dashboard</t>
        </is>
      </c>
      <c r="H34" s="56" t="inlineStr">
        <is>
          <t xml:space="preserve">Not Started</t>
        </is>
      </c>
      <c r="I34" s="56" t="inlineStr">
        <is>
          <t xml:space="preserve">No</t>
        </is>
      </c>
      <c r="J34" s="56" t="inlineStr">
        <is>
          <t xml:space="preserve">Not written</t>
        </is>
      </c>
      <c r="K34" s="54" t="inlineStr">
        <is>
          <t xml:space="preserve">One toggle, under Authentication &gt; Attack Protection.</t>
        </is>
      </c>
    </row>
    <row r="35" spans="1:11" ht="34" customHeight="1">
      <c r="A35" s="56" t="inlineStr">
        <is>
          <t xml:space="preserve">PA-31</t>
        </is>
      </c>
      <c r="B35" s="56" t="inlineStr">
        <is>
          <t xml:space="preserve">P2</t>
        </is>
      </c>
      <c r="C35" s="54" t="inlineStr">
        <is>
          <t xml:space="preserve">Abuse &amp; cost</t>
        </is>
      </c>
      <c r="D35" s="60" t="inlineStr">
        <is>
          <t xml:space="preserve">Add the CAPTCHA to Register and 'resend confirmation' to stop inbox flooding.</t>
        </is>
      </c>
      <c r="E35" s="54" t="inlineStr">
        <is>
          <t xml:space="preserve">0069 P2</t>
        </is>
      </c>
      <c r="F35" s="54" t="inlineStr">
        <is>
          <t xml:space="preserve">Lynn (Claude Code)</t>
        </is>
      </c>
      <c r="G35" s="54" t="inlineStr">
        <is>
          <t xml:space="preserve">Frontend + Edge Function</t>
        </is>
      </c>
      <c r="H35" s="56" t="inlineStr">
        <is>
          <t xml:space="preserve">Not Started</t>
        </is>
      </c>
      <c r="I35" s="56" t="inlineStr">
        <is>
          <t xml:space="preserve">No</t>
        </is>
      </c>
      <c r="J35" s="56" t="inlineStr">
        <is>
          <t xml:space="preserve">Not written</t>
        </is>
      </c>
      <c r="K35" s="54" t="inlineStr">
        <is>
          <t xml:space="preserve">Same Turnstile already used on /beta.</t>
        </is>
      </c>
    </row>
    <row r="36" spans="1:11" ht="34" customHeight="1">
      <c r="A36" s="56" t="inlineStr">
        <is>
          <t xml:space="preserve">PA-32</t>
        </is>
      </c>
      <c r="B36" s="56" t="inlineStr">
        <is>
          <t xml:space="preserve">P2</t>
        </is>
      </c>
      <c r="C36" s="54" t="inlineStr">
        <is>
          <t xml:space="preserve">Abuse &amp; cost</t>
        </is>
      </c>
      <c r="D36" s="60" t="inlineStr">
        <is>
          <t xml:space="preserve">Check that per-visitor signup limits see the real visitor's address, not Supabase's proxy.</t>
        </is>
      </c>
      <c r="E36" s="54" t="inlineStr">
        <is>
          <t xml:space="preserve">0069 P2</t>
        </is>
      </c>
      <c r="F36" s="54" t="inlineStr">
        <is>
          <t xml:space="preserve">Lynn (Claude Code)</t>
        </is>
      </c>
      <c r="G36" s="54" t="inlineStr">
        <is>
          <t xml:space="preserve">Investigation</t>
        </is>
      </c>
      <c r="H36" s="56" t="inlineStr">
        <is>
          <t xml:space="preserve">Not Started</t>
        </is>
      </c>
      <c r="I36" s="56" t="inlineStr">
        <is>
          <t xml:space="preserve">No</t>
        </is>
      </c>
      <c r="J36" s="56" t="inlineStr">
        <is>
          <t xml:space="preserve">Not written</t>
        </is>
      </c>
      <c r="K36" s="54" t="inlineStr">
        <is>
          <t xml:space="preserve">If they see the proxy, every visitor shares one limit, and signups would be refused site-wide after 20 an hour.</t>
        </is>
      </c>
    </row>
    <row r="37" spans="1:11" ht="34" customHeight="1">
      <c r="A37" s="56" t="inlineStr">
        <is>
          <t xml:space="preserve">PA-33</t>
        </is>
      </c>
      <c r="B37" s="56" t="inlineStr">
        <is>
          <t xml:space="preserve">P2</t>
        </is>
      </c>
      <c r="C37" s="54" t="inlineStr">
        <is>
          <t xml:space="preserve">Abuse &amp; cost</t>
        </is>
      </c>
      <c r="D37" s="60" t="inlineStr">
        <is>
          <t xml:space="preserve">Cap analytics event writes and exclude demo accounts from the analytics summary.</t>
        </is>
      </c>
      <c r="E37" s="54" t="inlineStr">
        <is>
          <t xml:space="preserve">0068 P2; 0069 P2</t>
        </is>
      </c>
      <c r="F37" s="54" t="inlineStr">
        <is>
          <t xml:space="preserve">Lynn (Claude Code)</t>
        </is>
      </c>
      <c r="G37" s="54" t="inlineStr">
        <is>
          <t xml:space="preserve">Migration</t>
        </is>
      </c>
      <c r="H37" s="56" t="inlineStr">
        <is>
          <t xml:space="preserve">Not Started</t>
        </is>
      </c>
      <c r="I37" s="56" t="inlineStr">
        <is>
          <t xml:space="preserve">No</t>
        </is>
      </c>
      <c r="J37" s="56" t="inlineStr">
        <is>
          <t xml:space="preserve">Not written</t>
        </is>
      </c>
      <c r="K37" s="54"/>
    </row>
    <row r="38" spans="1:11" ht="34" customHeight="1">
      <c r="A38" s="56" t="inlineStr">
        <is>
          <t xml:space="preserve">PA-34</t>
        </is>
      </c>
      <c r="B38" s="56" t="inlineStr">
        <is>
          <t xml:space="preserve">P2</t>
        </is>
      </c>
      <c r="C38" s="54" t="inlineStr">
        <is>
          <t xml:space="preserve">Silent failures</t>
        </is>
      </c>
      <c r="D38" s="60" t="inlineStr">
        <is>
          <t xml:space="preserve">Flush Sentry before backend functions return, so events aren't dropped.</t>
        </is>
      </c>
      <c r="E38" s="54" t="inlineStr">
        <is>
          <t xml:space="preserve">0068 P2</t>
        </is>
      </c>
      <c r="F38" s="54" t="inlineStr">
        <is>
          <t xml:space="preserve">Lynn (Claude Code)</t>
        </is>
      </c>
      <c r="G38" s="54" t="inlineStr">
        <is>
          <t xml:space="preserve">Edge Function</t>
        </is>
      </c>
      <c r="H38" s="56" t="inlineStr">
        <is>
          <t xml:space="preserve">Not Started</t>
        </is>
      </c>
      <c r="I38" s="56" t="inlineStr">
        <is>
          <t xml:space="preserve">No</t>
        </is>
      </c>
      <c r="J38" s="56" t="inlineStr">
        <is>
          <t xml:space="preserve">Not written</t>
        </is>
      </c>
      <c r="K38" s="54"/>
    </row>
    <row r="39" spans="1:11" ht="34" customHeight="1">
      <c r="A39" s="56" t="inlineStr">
        <is>
          <t xml:space="preserve">PA-35</t>
        </is>
      </c>
      <c r="B39" s="56" t="inlineStr">
        <is>
          <t xml:space="preserve">P2</t>
        </is>
      </c>
      <c r="C39" s="54" t="inlineStr">
        <is>
          <t xml:space="preserve">Silent failures</t>
        </is>
      </c>
      <c r="D39" s="60" t="inlineStr">
        <is>
          <t xml:space="preserve">Return generic error messages from backend functions instead of internal details.</t>
        </is>
      </c>
      <c r="E39" s="54" t="inlineStr">
        <is>
          <t xml:space="preserve">0069 P2</t>
        </is>
      </c>
      <c r="F39" s="54" t="inlineStr">
        <is>
          <t xml:space="preserve">Lynn (Claude Code)</t>
        </is>
      </c>
      <c r="G39" s="54" t="inlineStr">
        <is>
          <t xml:space="preserve">Edge Function</t>
        </is>
      </c>
      <c r="H39" s="56" t="inlineStr">
        <is>
          <t xml:space="preserve">Not Started</t>
        </is>
      </c>
      <c r="I39" s="56" t="inlineStr">
        <is>
          <t xml:space="preserve">No</t>
        </is>
      </c>
      <c r="J39" s="56" t="inlineStr">
        <is>
          <t xml:space="preserve">Not written</t>
        </is>
      </c>
      <c r="K39" s="54" t="inlineStr">
        <is>
          <t xml:space="preserve">Sentry already gets the detail.</t>
        </is>
      </c>
    </row>
    <row r="40" spans="1:11" ht="34" customHeight="1">
      <c r="A40" s="56" t="inlineStr">
        <is>
          <t xml:space="preserve">PA-36</t>
        </is>
      </c>
      <c r="B40" s="56" t="inlineStr">
        <is>
          <t xml:space="preserve">P2</t>
        </is>
      </c>
      <c r="C40" s="54" t="inlineStr">
        <is>
          <t xml:space="preserve">Features</t>
        </is>
      </c>
      <c r="D40" s="60" t="inlineStr">
        <is>
          <t xml:space="preserve">Notify existing users when they're added as a co-owner. Today they get no email or notice, and only see the pet after their next login.</t>
        </is>
      </c>
      <c r="E40" s="54" t="inlineStr">
        <is>
          <t xml:space="preserve">0068 P2</t>
        </is>
      </c>
      <c r="F40" s="54" t="inlineStr">
        <is>
          <t xml:space="preserve">Lynn (Claude Code)</t>
        </is>
      </c>
      <c r="G40" s="54" t="inlineStr">
        <is>
          <t xml:space="preserve">Edge Function + Frontend</t>
        </is>
      </c>
      <c r="H40" s="56" t="inlineStr">
        <is>
          <t xml:space="preserve">Not Started</t>
        </is>
      </c>
      <c r="I40" s="56" t="inlineStr">
        <is>
          <t xml:space="preserve">No</t>
        </is>
      </c>
      <c r="J40" s="56" t="inlineStr">
        <is>
          <t xml:space="preserve">Not written</t>
        </is>
      </c>
      <c r="K40" s="54"/>
    </row>
    <row r="41" spans="1:11" ht="34" customHeight="1">
      <c r="A41" s="56" t="inlineStr">
        <is>
          <t xml:space="preserve">PA-37</t>
        </is>
      </c>
      <c r="B41" s="56" t="inlineStr">
        <is>
          <t xml:space="preserve">P2</t>
        </is>
      </c>
      <c r="C41" s="54" t="inlineStr">
        <is>
          <t xml:space="preserve">Config</t>
        </is>
      </c>
      <c r="D41" s="60" t="inlineStr">
        <is>
          <t xml:space="preserve">Confirm the 'nightly-analytics-summary' job is meant to run every hour.</t>
        </is>
      </c>
      <c r="E41" s="54" t="inlineStr">
        <is>
          <t xml:space="preserve">0068 P2</t>
        </is>
      </c>
      <c r="F41" s="54" t="inlineStr">
        <is>
          <t xml:space="preserve">Lynn</t>
        </is>
      </c>
      <c r="G41" s="54" t="inlineStr">
        <is>
          <t xml:space="preserve">Decision</t>
        </is>
      </c>
      <c r="H41" s="56" t="inlineStr">
        <is>
          <t xml:space="preserve">Not Started</t>
        </is>
      </c>
      <c r="I41" s="56" t="inlineStr">
        <is>
          <t xml:space="preserve">No</t>
        </is>
      </c>
      <c r="J41" s="56" t="inlineStr">
        <is>
          <t xml:space="preserve">Not written</t>
        </is>
      </c>
      <c r="K41" s="54" t="inlineStr">
        <is>
          <t xml:space="preserve">It has run 336 times in 14 days.</t>
        </is>
      </c>
    </row>
    <row r="42" spans="1:11" ht="34" customHeight="1">
      <c r="A42" s="56" t="inlineStr">
        <is>
          <t xml:space="preserve">PA-38</t>
        </is>
      </c>
      <c r="B42" s="56" t="inlineStr">
        <is>
          <t xml:space="preserve">P2</t>
        </is>
      </c>
      <c r="C42" s="54" t="inlineStr">
        <is>
          <t xml:space="preserve">Account security</t>
        </is>
      </c>
      <c r="D42" s="60" t="inlineStr">
        <is>
          <t xml:space="preserve">Decide how far the shared demo login should reach. It's a real, writable prod session.</t>
        </is>
      </c>
      <c r="E42" s="54" t="inlineStr">
        <is>
          <t xml:space="preserve">0069 P2</t>
        </is>
      </c>
      <c r="F42" s="54" t="inlineStr">
        <is>
          <t xml:space="preserve">Lynn</t>
        </is>
      </c>
      <c r="G42" s="54" t="inlineStr">
        <is>
          <t xml:space="preserve">Decision</t>
        </is>
      </c>
      <c r="H42" s="56" t="inlineStr">
        <is>
          <t xml:space="preserve">Not Started</t>
        </is>
      </c>
      <c r="I42" s="56" t="inlineStr">
        <is>
          <t xml:space="preserve">No</t>
        </is>
      </c>
      <c r="J42" s="56" t="inlineStr">
        <is>
          <t xml:space="preserve">Not written</t>
        </is>
      </c>
      <c r="K42" s="54" t="inlineStr">
        <is>
          <t xml:space="preserve">Depends on who has the demo1@ password and whether it's published anywhere.</t>
        </is>
      </c>
    </row>
    <row r="43" spans="1:11" ht="34" customHeight="1">
      <c r="A43" s="56" t="inlineStr">
        <is>
          <t xml:space="preserve">PA-39</t>
        </is>
      </c>
      <c r="B43" s="56" t="inlineStr">
        <is>
          <t xml:space="preserve">P2</t>
        </is>
      </c>
      <c r="C43" s="54" t="inlineStr">
        <is>
          <t xml:space="preserve">Code health</t>
        </is>
      </c>
      <c r="D43" s="60" t="inlineStr">
        <is>
          <t xml:space="preserve">Move duplicated helpers into _shared, and wire in or delete the unused password-reset email template.</t>
        </is>
      </c>
      <c r="E43" s="54" t="inlineStr">
        <is>
          <t xml:space="preserve">0069 repo note</t>
        </is>
      </c>
      <c r="F43" s="54" t="inlineStr">
        <is>
          <t xml:space="preserve">Lynn (Claude Code)</t>
        </is>
      </c>
      <c r="G43" s="54" t="inlineStr">
        <is>
          <t xml:space="preserve">Refactor</t>
        </is>
      </c>
      <c r="H43" s="56" t="inlineStr">
        <is>
          <t xml:space="preserve">Not Started</t>
        </is>
      </c>
      <c r="I43" s="56" t="inlineStr">
        <is>
          <t xml:space="preserve">No</t>
        </is>
      </c>
      <c r="J43" s="56" t="inlineStr">
        <is>
          <t xml:space="preserve">Not written</t>
        </is>
      </c>
      <c r="K43" s="54" t="inlineStr">
        <is>
          <t xml:space="preserve">Helpers: getJwtRole (2 copies); getRequestIp and verifyTurnstile (3 copies).</t>
        </is>
      </c>
    </row>
    <row r="44" spans="1:11" ht="49" customHeight="1">
      <c r="A44" s="56" t="inlineStr">
        <is>
          <t xml:space="preserve">PA-40</t>
        </is>
      </c>
      <c r="B44" s="56" t="inlineStr">
        <is>
          <t xml:space="preserve">P2</t>
        </is>
      </c>
      <c r="C44" s="54" t="inlineStr">
        <is>
          <t xml:space="preserve">Docs</t>
        </is>
      </c>
      <c r="D44" s="60" t="inlineStr">
        <is>
          <t xml:space="preserve">Fix 4 stale CLAUDE.md notes.</t>
        </is>
      </c>
      <c r="E44" s="54" t="inlineStr">
        <is>
          <t xml:space="preserve">0068 docs drift</t>
        </is>
      </c>
      <c r="F44" s="54" t="inlineStr">
        <is>
          <t xml:space="preserve">Lynn (Claude Code)</t>
        </is>
      </c>
      <c r="G44" s="54" t="inlineStr">
        <is>
          <t xml:space="preserve">Docs</t>
        </is>
      </c>
      <c r="H44" s="56" t="inlineStr">
        <is>
          <t xml:space="preserve">Not Started</t>
        </is>
      </c>
      <c r="I44" s="56" t="inlineStr">
        <is>
          <t xml:space="preserve">No</t>
        </is>
      </c>
      <c r="J44" s="56" t="inlineStr">
        <is>
          <t xml:space="preserve">Not written</t>
        </is>
      </c>
      <c r="K44" s="54" t="inlineStr">
        <is>
          <t xml:space="preserve">Start-here path doesn't exist. The e2e 'trial through 9/3' note is stale (the job has never passed). Planner file vs Execution Plan memory needs a decision. Add a note that 0052's restored public-read rule is itself a P0.</t>
        </is>
      </c>
    </row>
    <row r="45" spans="1:11" ht="34" customHeight="1">
      <c r="A45" s="56" t="inlineStr">
        <is>
          <t xml:space="preserve">PA-41</t>
        </is>
      </c>
      <c r="B45" s="56" t="inlineStr">
        <is>
          <t xml:space="preserve">Check</t>
        </is>
      </c>
      <c r="C45" s="54" t="inlineStr">
        <is>
          <t xml:space="preserve">Dashboard checks</t>
        </is>
      </c>
      <c r="D45" s="60" t="inlineStr">
        <is>
          <t xml:space="preserve">Run the Supabase Auth dashboard checklist on prod, then dev and staging.</t>
        </is>
      </c>
      <c r="E45" s="54" t="inlineStr">
        <is>
          <t xml:space="preserve">0068 OQ1; 0069 OQ2</t>
        </is>
      </c>
      <c r="F45" s="54" t="inlineStr">
        <is>
          <t xml:space="preserve">Lynn</t>
        </is>
      </c>
      <c r="G45" s="54" t="inlineStr">
        <is>
          <t xml:space="preserve">Dashboard check</t>
        </is>
      </c>
      <c r="H45" s="56" t="inlineStr">
        <is>
          <t xml:space="preserve">Not Started</t>
        </is>
      </c>
      <c r="I45" s="56" t="inlineStr">
        <is>
          <t xml:space="preserve">No</t>
        </is>
      </c>
      <c r="J45" s="56" t="inlineStr">
        <is>
          <t xml:space="preserve">Not written</t>
        </is>
      </c>
      <c r="K45" s="54" t="inlineStr">
        <is>
          <t xml:space="preserve">Secure email change on; link expiry 1 hour or less; Site URL and redirect list exact (no localhost or wildcards on prod); email rate limit; refresh-token reuse detection on.</t>
        </is>
      </c>
    </row>
    <row r="46" spans="1:11" ht="34" customHeight="1">
      <c r="A46" s="56" t="inlineStr">
        <is>
          <t xml:space="preserve">PA-42</t>
        </is>
      </c>
      <c r="B46" s="56" t="inlineStr">
        <is>
          <t xml:space="preserve">Check</t>
        </is>
      </c>
      <c r="C46" s="54" t="inlineStr">
        <is>
          <t xml:space="preserve">Dashboard checks</t>
        </is>
      </c>
      <c r="D46" s="60" t="inlineStr">
        <is>
          <t xml:space="preserve">Confirm the live production frontend on Cloudflare is the current main build (c36f7a4).</t>
        </is>
      </c>
      <c r="E46" s="54" t="inlineStr">
        <is>
          <t xml:space="preserve">0068 OQ2</t>
        </is>
      </c>
      <c r="F46" s="54" t="inlineStr">
        <is>
          <t xml:space="preserve">Lynn</t>
        </is>
      </c>
      <c r="G46" s="54" t="inlineStr">
        <is>
          <t xml:space="preserve">Dashboard check</t>
        </is>
      </c>
      <c r="H46" s="56" t="inlineStr">
        <is>
          <t xml:space="preserve">Not Started</t>
        </is>
      </c>
      <c r="I46" s="56" t="inlineStr">
        <is>
          <t xml:space="preserve">No</t>
        </is>
      </c>
      <c r="J46" s="56" t="inlineStr">
        <is>
          <t xml:space="preserve">Not written</t>
        </is>
      </c>
      <c r="K46" s="54" t="inlineStr">
        <is>
          <t xml:space="preserve">Promotion is manual, and I can't see it from here.</t>
        </is>
      </c>
    </row>
    <row r="47" spans="1:11" ht="34" customHeight="1">
      <c r="A47" s="56" t="inlineStr">
        <is>
          <t xml:space="preserve">PA-43</t>
        </is>
      </c>
      <c r="B47" s="56" t="inlineStr">
        <is>
          <t xml:space="preserve">Check</t>
        </is>
      </c>
      <c r="C47" s="54" t="inlineStr">
        <is>
          <t xml:space="preserve">Dashboard checks</t>
        </is>
      </c>
      <c r="D47" s="60" t="inlineStr">
        <is>
          <t xml:space="preserve">Rotate the test1@/test2@ passwords that were shared in a chat, and update the matching GitHub secrets.</t>
        </is>
      </c>
      <c r="E47" s="54" t="inlineStr">
        <is>
          <t xml:space="preserve">0066 open question</t>
        </is>
      </c>
      <c r="F47" s="54" t="inlineStr">
        <is>
          <t xml:space="preserve">Lynn</t>
        </is>
      </c>
      <c r="G47" s="54" t="inlineStr">
        <is>
          <t xml:space="preserve">Dashboard</t>
        </is>
      </c>
      <c r="H47" s="56" t="inlineStr">
        <is>
          <t xml:space="preserve">Not Started</t>
        </is>
      </c>
      <c r="I47" s="56" t="inlineStr">
        <is>
          <t xml:space="preserve">No</t>
        </is>
      </c>
      <c r="J47" s="56" t="inlineStr">
        <is>
          <t xml:space="preserve">Not written</t>
        </is>
      </c>
      <c r="K47" s="54" t="inlineStr">
        <is>
          <t xml:space="preserve">Lynn, 2026-10-24: rotating soon. Update .env.playwright and the GitHub secrets (PLAYWRIGHT_TEST1_PASSWORD, SUPABASE_DEV_TEST2_PASSWORD) at the same time.</t>
        </is>
      </c>
    </row>
    <row r="48" spans="1:11" ht="34" customHeight="1">
      <c r="A48" s="56" t="inlineStr">
        <is>
          <t xml:space="preserve">PA-44</t>
        </is>
      </c>
      <c r="B48" s="56" t="inlineStr">
        <is>
          <t xml:space="preserve">P1</t>
        </is>
      </c>
      <c r="C48" s="54" t="inlineStr">
        <is>
          <t xml:space="preserve">Testing</t>
        </is>
      </c>
      <c r="D48" s="60" t="inlineStr">
        <is>
          <t xml:space="preserve">Build spec 0067: get the e2e check green. It has failed on every PR since it was added on 2026-08-15.</t>
        </is>
      </c>
      <c r="E48" s="54" t="inlineStr">
        <is>
          <t xml:space="preserve">0067 (approved 2026-10-21)</t>
        </is>
      </c>
      <c r="F48" s="54" t="inlineStr">
        <is>
          <t xml:space="preserve">Lynn (Claude Code)</t>
        </is>
      </c>
      <c r="G48" s="54" t="inlineStr">
        <is>
          <t xml:space="preserve">Frontend + Tests + CI</t>
        </is>
      </c>
      <c r="H48" s="56" t="inlineStr">
        <is>
          <t xml:space="preserve">Not Started</t>
        </is>
      </c>
      <c r="I48" s="56" t="inlineStr">
        <is>
          <t xml:space="preserve">No</t>
        </is>
      </c>
      <c r="J48" s="56" t="inlineStr">
        <is>
          <t xml:space="preserve">0067 approved</t>
        </is>
      </c>
      <c r="K48" s="54" t="inlineStr">
        <is>
          <t xml:space="preserve">Causes: the /beta Submit button moves 69px when the CAPTCHA finishes (a real visitor bug too), Early Adopters test checks a removed heading, CI never gets the test4@ login, vaccination tests can't seed data in CI (will be skipped there). Needs PA-45 for its last two checks.</t>
        </is>
      </c>
    </row>
    <row r="49" spans="1:11" ht="34" customHeight="1">
      <c r="A49" s="56" t="inlineStr">
        <is>
          <t xml:space="preserve">PA-45</t>
        </is>
      </c>
      <c r="B49" s="56" t="inlineStr">
        <is>
          <t xml:space="preserve">P1</t>
        </is>
      </c>
      <c r="C49" s="54" t="inlineStr">
        <is>
          <t xml:space="preserve">Testing</t>
        </is>
      </c>
      <c r="D49" s="60" t="inlineStr">
        <is>
          <t xml:space="preserve">Update the GitHub secrets the e2e job uses: re-enter PLAYWRIGHT_TEST3_ADMIN_EMAIL/PASSWORD and add PLAYWRIGHT_TEST4_SITTER_EMAIL/PASSWORD.</t>
        </is>
      </c>
      <c r="E49" s="54" t="inlineStr">
        <is>
          <t xml:space="preserve">0067 AC4/AC5</t>
        </is>
      </c>
      <c r="F49" s="54" t="inlineStr">
        <is>
          <t xml:space="preserve">Lynn</t>
        </is>
      </c>
      <c r="G49" s="54" t="inlineStr">
        <is>
          <t xml:space="preserve">Dashboard</t>
        </is>
      </c>
      <c r="H49" s="56" t="inlineStr">
        <is>
          <t xml:space="preserve">Not Started</t>
        </is>
      </c>
      <c r="I49" s="56" t="inlineStr">
        <is>
          <t xml:space="preserve">No</t>
        </is>
      </c>
      <c r="J49" s="56" t="inlineStr">
        <is>
          <t xml:space="preserve">0067</t>
        </is>
      </c>
      <c r="K49" s="54" t="inlineStr">
        <is>
          <t xml:space="preserve">Copy values from .env.playwright. GitHub &gt; repo &gt; Settings &gt; Secrets and variables &gt; Actions. Do it with PA-43 so CI gets the rotated passwords too.</t>
        </is>
      </c>
    </row>
    <row r="50" spans="1:11" ht="34" customHeight="1">
      <c r="A50" s="56" t="inlineStr">
        <is>
          <t xml:space="preserve">PA-46</t>
        </is>
      </c>
      <c r="B50" s="56" t="inlineStr">
        <is>
          <t xml:space="preserve">P2</t>
        </is>
      </c>
      <c r="C50" s="54" t="inlineStr">
        <is>
          <t xml:space="preserve">Testing</t>
        </is>
      </c>
      <c r="D50" s="60" t="inlineStr">
        <is>
          <t xml:space="preserve">Cache Playwright's browsers in the CI e2e job, so a slow package server can't time it out.</t>
        </is>
      </c>
      <c r="E50" s="54" t="inlineStr">
        <is>
          <t xml:space="preserve">PR #22 CI run, 2026-10-23</t>
        </is>
      </c>
      <c r="F50" s="54" t="inlineStr">
        <is>
          <t xml:space="preserve">Lynn (Claude Code)</t>
        </is>
      </c>
      <c r="G50" s="54" t="inlineStr">
        <is>
          <t xml:space="preserve">CI</t>
        </is>
      </c>
      <c r="H50" s="56" t="inlineStr">
        <is>
          <t xml:space="preserve">Not Started</t>
        </is>
      </c>
      <c r="I50" s="56" t="inlineStr">
        <is>
          <t xml:space="preserve">No</t>
        </is>
      </c>
      <c r="J50" s="56" t="inlineStr">
        <is>
          <t xml:space="preserve">Not written</t>
        </is>
      </c>
      <c r="K50" s="54" t="inlineStr">
        <is>
          <t xml:space="preserve">On PR #22 the job spent its full 20-minute limit downloading Ubuntu packages and was cancelled before any test ran. Not in 0067's scope; raise when 0067 is built.</t>
        </is>
      </c>
    </row>
    <row r="51" spans="1:11" ht="34" customHeight="1">
      <c r="A51" s="56" t="inlineStr">
        <is>
          <t xml:space="preserve">PA-47</t>
        </is>
      </c>
      <c r="B51" s="56" t="inlineStr">
        <is>
          <t xml:space="preserve">P2</t>
        </is>
      </c>
      <c r="C51" s="54" t="inlineStr">
        <is>
          <t xml:space="preserve">Testing</t>
        </is>
      </c>
      <c r="D51" s="60" t="inlineStr">
        <is>
          <t xml:space="preserve">Redo the abandoned PR #19/#20 work: the vaccination e2e test should refuse to run unless the CLI is linked to dev, and should clean up its test data even when a test fails.</t>
        </is>
      </c>
      <c r="E51" s="54" t="inlineStr">
        <is>
          <t xml:space="preserve">Closed PRs #19/#20 (built without spec review)</t>
        </is>
      </c>
      <c r="F51" s="54" t="inlineStr">
        <is>
          <t xml:space="preserve">Lynn (Claude Code)</t>
        </is>
      </c>
      <c r="G51" s="54" t="inlineStr">
        <is>
          <t xml:space="preserve">Tests</t>
        </is>
      </c>
      <c r="H51" s="56" t="inlineStr">
        <is>
          <t xml:space="preserve">Not Started</t>
        </is>
      </c>
      <c r="I51" s="56" t="inlineStr">
        <is>
          <t xml:space="preserve">No</t>
        </is>
      </c>
      <c r="J51" s="56" t="inlineStr">
        <is>
          <t xml:space="preserve">Not written</t>
        </is>
      </c>
      <c r="K51" s="54" t="inlineStr">
        <is>
          <t xml:space="preserve">Needs a new spec Lynn reviews first. Branches claude/cranky-ptolemy-795759 and claude/xenodochial-bell-d19ae3 are still on GitHub for reference.</t>
        </is>
      </c>
    </row>
    <row r="52" spans="1:11" ht="34" customHeight="1">
      <c r="A52" s="56" t="inlineStr">
        <is>
          <t xml:space="preserve">PA-48</t>
        </is>
      </c>
      <c r="B52" s="56" t="inlineStr">
        <is>
          <t xml:space="preserve">P2</t>
        </is>
      </c>
      <c r="C52" s="54" t="inlineStr">
        <is>
          <t xml:space="preserve">Testing</t>
        </is>
      </c>
      <c r="D52" s="60" t="inlineStr">
        <is>
          <t xml:space="preserve">Investigate e2e tests that fail only sometimes (check-in history on 09-01; bottom nav, home cards and pet editing on 08-19).</t>
        </is>
      </c>
      <c r="E52" s="54" t="inlineStr">
        <is>
          <t xml:space="preserve">0067 non-goal</t>
        </is>
      </c>
      <c r="F52" s="54" t="inlineStr">
        <is>
          <t xml:space="preserve">Lynn (Claude Code)</t>
        </is>
      </c>
      <c r="G52" s="54" t="inlineStr">
        <is>
          <t xml:space="preserve">Investigation</t>
        </is>
      </c>
      <c r="H52" s="56" t="inlineStr">
        <is>
          <t xml:space="preserve">Not Started</t>
        </is>
      </c>
      <c r="I52" s="56" t="inlineStr">
        <is>
          <t xml:space="preserve">No</t>
        </is>
      </c>
      <c r="J52" s="56" t="inlineStr">
        <is>
          <t xml:space="preserve">Not written</t>
        </is>
      </c>
      <c r="K52" s="54" t="inlineStr">
        <is>
          <t xml:space="preserve">Best done after PA-44, so real failures stand out.</t>
        </is>
      </c>
    </row>
    <row r="53" spans="1:11" ht="34" customHeight="1">
      <c r="A53" s="56" t="inlineStr">
        <is>
          <t xml:space="preserve">PA-49</t>
        </is>
      </c>
      <c r="B53" s="56" t="inlineStr">
        <is>
          <t xml:space="preserve">P2</t>
        </is>
      </c>
      <c r="C53" s="54" t="inlineStr">
        <is>
          <t xml:space="preserve">Process</t>
        </is>
      </c>
      <c r="D53" s="60" t="inlineStr">
        <is>
          <t xml:space="preserve">Decide whether to make e2e a required check once it has passed several runs in a row.</t>
        </is>
      </c>
      <c r="E53" s="54" t="inlineStr">
        <is>
          <t xml:space="preserve">0067 non-goal</t>
        </is>
      </c>
      <c r="F53" s="54" t="inlineStr">
        <is>
          <t xml:space="preserve">Lynn</t>
        </is>
      </c>
      <c r="G53" s="54" t="inlineStr">
        <is>
          <t xml:space="preserve">Decision</t>
        </is>
      </c>
      <c r="H53" s="56" t="inlineStr">
        <is>
          <t xml:space="preserve">Not Started</t>
        </is>
      </c>
      <c r="I53" s="56" t="inlineStr">
        <is>
          <t xml:space="preserve">No</t>
        </is>
      </c>
      <c r="J53" s="56" t="inlineStr">
        <is>
          <t xml:space="preserve">Not written</t>
        </is>
      </c>
      <c r="K53" s="54" t="inlineStr">
        <is>
          <t xml:space="preserve">Today only frontend and edge-functions are required. CLAUDE.md's 'trial through 9/3' note is part of PA-40.</t>
        </is>
      </c>
    </row>
  </sheetData>
  <autoFilter ref="A4:K53"/>
  <mergeCells count="2">
    <mergeCell ref="A1:K1"/>
    <mergeCell ref="A2:K2"/>
  </mergeCells>
  <conditionalFormatting sqref="B5:B53">
    <cfRule type="cellIs" dxfId="7" priority="1" operator="equal">
      <formula>"P0"</formula>
    </cfRule>
    <cfRule type="cellIs" dxfId="6" priority="2" operator="equal">
      <formula>"P1"</formula>
    </cfRule>
    <cfRule type="cellIs" dxfId="5" priority="3" operator="equal">
      <formula>"P2"</formula>
    </cfRule>
  </conditionalFormatting>
  <conditionalFormatting sqref="H5:H53">
    <cfRule type="containsText" dxfId="4" priority="4" operator="containsText" text="Complete">
      <formula>NOT(ISERROR(SEARCH("Complete",H5)))</formula>
    </cfRule>
    <cfRule type="containsText" dxfId="3" priority="5" operator="containsText" text="In Progress">
      <formula>NOT(ISERROR(SEARCH("In Progress",H5)))</formula>
    </cfRule>
    <cfRule type="containsText" dxfId="2" priority="6" operator="containsText" text="Not Started">
      <formula>NOT(ISERROR(SEARCH("Not Started",H5)))</formula>
    </cfRule>
  </conditionalFormatting>
  <conditionalFormatting sqref="I5:I53">
    <cfRule type="cellIs" dxfId="1" priority="7" operator="equal">
      <formula>"Yes"</formula>
    </cfRule>
  </conditionalFormatting>
  <dataValidations count="3">
    <dataValidation type="list" allowBlank="1" sqref="H5:H67">
      <formula1>"Not Started,In Progress,Blocked,Complete,Deferred,N/A"</formula1>
    </dataValidation>
    <dataValidation type="list" allowBlank="1" sqref="B5:B67">
      <formula1>"P0,P1,P2,Check"</formula1>
    </dataValidation>
    <dataValidation type="list" allowBlank="1" sqref="I5:I67">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Dashboard</vt:lpstr>
      <vt:lpstr>Launch Plan</vt:lpstr>
      <vt:lpstr>Pre-Alpha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AKB</cp:lastModifiedBy>
  <dcterms:created xsi:type="dcterms:W3CDTF">2026-08-15T19:29:54Z</dcterms:created>
  <dcterms:modified xsi:type="dcterms:W3CDTF">2026-08-29T13:05:33Z</dcterms:modified>
</cp:coreProperties>
</file>