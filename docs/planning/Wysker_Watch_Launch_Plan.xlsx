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dev\whisker-watch-supabase\docs\planning\"/>
    </mc:Choice>
  </mc:AlternateContent>
  <xr:revisionPtr revIDLastSave="0" documentId="13_ncr:1_{6B71B355-990A-44F1-A571-0B9F0B69FF0D}" xr6:coauthVersionLast="47" xr6:coauthVersionMax="47" xr10:uidLastSave="{00000000-0000-0000-0000-000000000000}"/>
  <bookViews>
    <workbookView xWindow="-110" yWindow="-110" windowWidth="19420" windowHeight="10300" activeTab="1" xr2:uid="{00000000-000D-0000-FFFF-FFFF00000000}"/>
  </bookViews>
  <sheets>
    <sheet name="Executive Dashboard" sheetId="1" r:id="rId1"/>
    <sheet name="Launch Plan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75" i="1" l="1"/>
  <c r="E75" i="1"/>
  <c r="D75" i="1"/>
  <c r="C75" i="1"/>
  <c r="F74" i="1"/>
  <c r="E74" i="1"/>
  <c r="D74" i="1"/>
  <c r="C74" i="1"/>
  <c r="F73" i="1"/>
  <c r="E73" i="1"/>
  <c r="D73" i="1"/>
  <c r="G73" i="1" s="1"/>
  <c r="H73" i="1" s="1"/>
  <c r="C73" i="1"/>
  <c r="F72" i="1"/>
  <c r="E72" i="1"/>
  <c r="D72" i="1"/>
  <c r="C72" i="1"/>
  <c r="F71" i="1"/>
  <c r="E71" i="1"/>
  <c r="D71" i="1"/>
  <c r="G71" i="1" s="1"/>
  <c r="H71" i="1" s="1"/>
  <c r="C71" i="1"/>
  <c r="F70" i="1"/>
  <c r="E70" i="1"/>
  <c r="D70" i="1"/>
  <c r="G70" i="1" s="1"/>
  <c r="H70" i="1" s="1"/>
  <c r="C70" i="1"/>
  <c r="G69" i="1"/>
  <c r="F69" i="1"/>
  <c r="E69" i="1"/>
  <c r="D69" i="1"/>
  <c r="C69" i="1"/>
  <c r="F68" i="1"/>
  <c r="E68" i="1"/>
  <c r="D68" i="1"/>
  <c r="C68" i="1"/>
  <c r="F67" i="1"/>
  <c r="E67" i="1"/>
  <c r="D67" i="1"/>
  <c r="C67" i="1"/>
  <c r="F66" i="1"/>
  <c r="E66" i="1"/>
  <c r="D66" i="1"/>
  <c r="C66" i="1"/>
  <c r="F65" i="1"/>
  <c r="E65" i="1"/>
  <c r="D65" i="1"/>
  <c r="C65" i="1"/>
  <c r="G65" i="1" s="1"/>
  <c r="H65" i="1" s="1"/>
  <c r="F64" i="1"/>
  <c r="E64" i="1"/>
  <c r="D64" i="1"/>
  <c r="C64" i="1"/>
  <c r="F63" i="1"/>
  <c r="E63" i="1"/>
  <c r="D63" i="1"/>
  <c r="C63" i="1"/>
  <c r="G63" i="1" s="1"/>
  <c r="H63" i="1" s="1"/>
  <c r="F62" i="1"/>
  <c r="E62" i="1"/>
  <c r="D62" i="1"/>
  <c r="G62" i="1" s="1"/>
  <c r="H62" i="1" s="1"/>
  <c r="C62" i="1"/>
  <c r="F61" i="1"/>
  <c r="E61" i="1"/>
  <c r="D61" i="1"/>
  <c r="G61" i="1" s="1"/>
  <c r="H61" i="1" s="1"/>
  <c r="C61" i="1"/>
  <c r="F60" i="1"/>
  <c r="E60" i="1"/>
  <c r="D60" i="1"/>
  <c r="C60" i="1"/>
  <c r="G60" i="1" s="1"/>
  <c r="H60" i="1" s="1"/>
  <c r="F59" i="1"/>
  <c r="E59" i="1"/>
  <c r="D59" i="1"/>
  <c r="C59" i="1"/>
  <c r="G59" i="1" s="1"/>
  <c r="H59" i="1" s="1"/>
  <c r="F58" i="1"/>
  <c r="E58" i="1"/>
  <c r="D58" i="1"/>
  <c r="C58" i="1"/>
  <c r="F57" i="1"/>
  <c r="E57" i="1"/>
  <c r="D57" i="1"/>
  <c r="C57" i="1"/>
  <c r="G57" i="1" s="1"/>
  <c r="H57" i="1" s="1"/>
  <c r="F56" i="1"/>
  <c r="E56" i="1"/>
  <c r="D56" i="1"/>
  <c r="C56" i="1"/>
  <c r="G56" i="1" s="1"/>
  <c r="H56" i="1" s="1"/>
  <c r="F55" i="1"/>
  <c r="E55" i="1"/>
  <c r="D55" i="1"/>
  <c r="C55" i="1"/>
  <c r="G55" i="1" s="1"/>
  <c r="H55" i="1" s="1"/>
  <c r="F54" i="1"/>
  <c r="E54" i="1"/>
  <c r="D54" i="1"/>
  <c r="C54" i="1"/>
  <c r="F53" i="1"/>
  <c r="E53" i="1"/>
  <c r="D53" i="1"/>
  <c r="C53" i="1"/>
  <c r="G53" i="1" s="1"/>
  <c r="H53" i="1" s="1"/>
  <c r="F52" i="1"/>
  <c r="E52" i="1"/>
  <c r="D52" i="1"/>
  <c r="C52" i="1"/>
  <c r="G52" i="1" s="1"/>
  <c r="H52" i="1" s="1"/>
  <c r="F51" i="1"/>
  <c r="E51" i="1"/>
  <c r="D51" i="1"/>
  <c r="C51" i="1"/>
  <c r="G51" i="1" s="1"/>
  <c r="H51" i="1" s="1"/>
  <c r="F50" i="1"/>
  <c r="E50" i="1"/>
  <c r="D50" i="1"/>
  <c r="C50" i="1"/>
  <c r="M44" i="1"/>
  <c r="L44" i="1"/>
  <c r="N44" i="1" s="1"/>
  <c r="B44" i="1"/>
  <c r="A44" i="1"/>
  <c r="M43" i="1"/>
  <c r="L43" i="1"/>
  <c r="N43" i="1" s="1"/>
  <c r="B43" i="1"/>
  <c r="A43" i="1"/>
  <c r="M42" i="1"/>
  <c r="L42" i="1"/>
  <c r="N42" i="1" s="1"/>
  <c r="B42" i="1"/>
  <c r="A42" i="1"/>
  <c r="M41" i="1"/>
  <c r="L41" i="1"/>
  <c r="N41" i="1" s="1"/>
  <c r="B41" i="1"/>
  <c r="A41" i="1"/>
  <c r="M40" i="1"/>
  <c r="L40" i="1"/>
  <c r="N40" i="1" s="1"/>
  <c r="B40" i="1"/>
  <c r="A40" i="1"/>
  <c r="N39" i="1"/>
  <c r="M39" i="1"/>
  <c r="L39" i="1"/>
  <c r="B39" i="1"/>
  <c r="A39" i="1"/>
  <c r="M38" i="1"/>
  <c r="L38" i="1"/>
  <c r="N38" i="1" s="1"/>
  <c r="B38" i="1"/>
  <c r="A38" i="1"/>
  <c r="M37" i="1"/>
  <c r="L37" i="1"/>
  <c r="N37" i="1" s="1"/>
  <c r="B37" i="1"/>
  <c r="A37" i="1"/>
  <c r="N36" i="1"/>
  <c r="M36" i="1"/>
  <c r="L36" i="1"/>
  <c r="B36" i="1"/>
  <c r="A36" i="1"/>
  <c r="M35" i="1"/>
  <c r="L35" i="1"/>
  <c r="N35" i="1" s="1"/>
  <c r="B35" i="1"/>
  <c r="A35" i="1"/>
  <c r="M34" i="1"/>
  <c r="L34" i="1"/>
  <c r="N34" i="1" s="1"/>
  <c r="B34" i="1"/>
  <c r="A34" i="1"/>
  <c r="M33" i="1"/>
  <c r="L33" i="1"/>
  <c r="N33" i="1" s="1"/>
  <c r="B33" i="1"/>
  <c r="A33" i="1"/>
  <c r="M32" i="1"/>
  <c r="L32" i="1"/>
  <c r="N32" i="1" s="1"/>
  <c r="B32" i="1"/>
  <c r="A32" i="1"/>
  <c r="M31" i="1"/>
  <c r="L31" i="1"/>
  <c r="N31" i="1" s="1"/>
  <c r="B31" i="1"/>
  <c r="A31" i="1"/>
  <c r="N30" i="1"/>
  <c r="M30" i="1"/>
  <c r="L30" i="1"/>
  <c r="B30" i="1"/>
  <c r="A30" i="1"/>
  <c r="L22" i="1"/>
  <c r="K22" i="1"/>
  <c r="J22" i="1"/>
  <c r="M22" i="1" s="1"/>
  <c r="N22" i="1" s="1"/>
  <c r="I22" i="1"/>
  <c r="L21" i="1"/>
  <c r="K21" i="1"/>
  <c r="J21" i="1"/>
  <c r="I21" i="1"/>
  <c r="L20" i="1"/>
  <c r="K20" i="1"/>
  <c r="J20" i="1"/>
  <c r="M20" i="1" s="1"/>
  <c r="N20" i="1" s="1"/>
  <c r="I20" i="1"/>
  <c r="L19" i="1"/>
  <c r="K19" i="1"/>
  <c r="J19" i="1"/>
  <c r="I19" i="1"/>
  <c r="M18" i="1"/>
  <c r="L18" i="1"/>
  <c r="K18" i="1"/>
  <c r="J18" i="1"/>
  <c r="I18" i="1"/>
  <c r="L17" i="1"/>
  <c r="K17" i="1"/>
  <c r="J17" i="1"/>
  <c r="I17" i="1"/>
  <c r="L16" i="1"/>
  <c r="K16" i="1"/>
  <c r="J16" i="1"/>
  <c r="M16" i="1" s="1"/>
  <c r="I16" i="1"/>
  <c r="L15" i="1"/>
  <c r="K15" i="1"/>
  <c r="J15" i="1"/>
  <c r="I15" i="1"/>
  <c r="B15" i="1"/>
  <c r="L14" i="1"/>
  <c r="K14" i="1"/>
  <c r="J14" i="1"/>
  <c r="I14" i="1"/>
  <c r="M14" i="1" s="1"/>
  <c r="N14" i="1" s="1"/>
  <c r="B14" i="1"/>
  <c r="L13" i="1"/>
  <c r="K13" i="1"/>
  <c r="J13" i="1"/>
  <c r="M13" i="1" s="1"/>
  <c r="N13" i="1" s="1"/>
  <c r="I13" i="1"/>
  <c r="B13" i="1"/>
  <c r="M6" i="1"/>
  <c r="J6" i="1"/>
  <c r="G6" i="1"/>
  <c r="D6" i="1"/>
  <c r="A6" i="1"/>
  <c r="B133" i="2"/>
  <c r="B132" i="2"/>
  <c r="B131" i="2"/>
  <c r="B130" i="2"/>
  <c r="J127" i="2"/>
  <c r="J126" i="2"/>
  <c r="J125" i="2"/>
  <c r="J124" i="2"/>
  <c r="J123" i="2"/>
  <c r="J122" i="2"/>
  <c r="J121" i="2"/>
  <c r="J120" i="2"/>
  <c r="J119" i="2"/>
  <c r="J118" i="2"/>
  <c r="J117" i="2"/>
  <c r="J116" i="2"/>
  <c r="J115" i="2"/>
  <c r="J114" i="2"/>
  <c r="J113" i="2"/>
  <c r="J112" i="2"/>
  <c r="J111" i="2"/>
  <c r="J110" i="2"/>
  <c r="J109" i="2"/>
  <c r="J108" i="2"/>
  <c r="J107" i="2"/>
  <c r="J106" i="2"/>
  <c r="J105" i="2"/>
  <c r="J104" i="2"/>
  <c r="J103" i="2"/>
  <c r="J102" i="2"/>
  <c r="J101" i="2"/>
  <c r="J100" i="2"/>
  <c r="J99" i="2"/>
  <c r="J98" i="2"/>
  <c r="J97" i="2"/>
  <c r="J96" i="2"/>
  <c r="J95" i="2"/>
  <c r="J94" i="2"/>
  <c r="J93" i="2"/>
  <c r="J92" i="2"/>
  <c r="J91" i="2"/>
  <c r="J90" i="2"/>
  <c r="J89" i="2"/>
  <c r="J88" i="2"/>
  <c r="J87" i="2"/>
  <c r="J86" i="2"/>
  <c r="J85" i="2"/>
  <c r="J84" i="2"/>
  <c r="J83" i="2"/>
  <c r="J82" i="2"/>
  <c r="J81" i="2"/>
  <c r="J80" i="2"/>
  <c r="J79" i="2"/>
  <c r="J78" i="2"/>
  <c r="J77" i="2"/>
  <c r="J76" i="2"/>
  <c r="J75" i="2"/>
  <c r="J74" i="2"/>
  <c r="J73" i="2"/>
  <c r="J72" i="2"/>
  <c r="J71" i="2"/>
  <c r="J70" i="2"/>
  <c r="J69" i="2"/>
  <c r="J68" i="2"/>
  <c r="J67" i="2"/>
  <c r="J66" i="2"/>
  <c r="J65" i="2"/>
  <c r="J64" i="2"/>
  <c r="J63" i="2"/>
  <c r="J62" i="2"/>
  <c r="J61" i="2"/>
  <c r="J60" i="2"/>
  <c r="J59" i="2"/>
  <c r="J58" i="2"/>
  <c r="J57" i="2"/>
  <c r="J56" i="2"/>
  <c r="J55" i="2"/>
  <c r="J54" i="2"/>
  <c r="J53" i="2"/>
  <c r="J52" i="2"/>
  <c r="J51" i="2"/>
  <c r="J50" i="2"/>
  <c r="J49" i="2"/>
  <c r="J48" i="2"/>
  <c r="J47" i="2"/>
  <c r="J46" i="2"/>
  <c r="J45" i="2"/>
  <c r="J44" i="2"/>
  <c r="J43" i="2"/>
  <c r="J42" i="2"/>
  <c r="J41" i="2"/>
  <c r="J40" i="2"/>
  <c r="J39" i="2"/>
  <c r="J38" i="2"/>
  <c r="J37" i="2"/>
  <c r="J36" i="2"/>
  <c r="J35" i="2"/>
  <c r="J34" i="2"/>
  <c r="J33" i="2"/>
  <c r="J32" i="2"/>
  <c r="J31" i="2"/>
  <c r="J30" i="2"/>
  <c r="J29" i="2"/>
  <c r="J28" i="2"/>
  <c r="J27" i="2"/>
  <c r="J26" i="2"/>
  <c r="J25" i="2"/>
  <c r="J24" i="2"/>
  <c r="J23" i="2"/>
  <c r="J22" i="2"/>
  <c r="J21" i="2"/>
  <c r="J20" i="2"/>
  <c r="J19" i="2"/>
  <c r="J18" i="2"/>
  <c r="J17" i="2"/>
  <c r="J16" i="2"/>
  <c r="J15" i="2"/>
  <c r="J14" i="2"/>
  <c r="J13" i="2"/>
  <c r="J12" i="2"/>
  <c r="J11" i="2"/>
  <c r="J10" i="2"/>
  <c r="J9" i="2"/>
  <c r="J8" i="2"/>
  <c r="J7" i="2"/>
  <c r="J6" i="2"/>
  <c r="J5" i="2"/>
  <c r="M17" i="1" l="1"/>
  <c r="N17" i="1" s="1"/>
  <c r="M15" i="1"/>
  <c r="N15" i="1" s="1"/>
  <c r="M19" i="1"/>
  <c r="N19" i="1" s="1"/>
  <c r="M21" i="1"/>
  <c r="N21" i="1" s="1"/>
  <c r="G74" i="1"/>
  <c r="H74" i="1" s="1"/>
  <c r="G67" i="1"/>
  <c r="H67" i="1" s="1"/>
  <c r="N18" i="1"/>
  <c r="N16" i="1"/>
  <c r="G50" i="1"/>
  <c r="H50" i="1" s="1"/>
  <c r="G54" i="1"/>
  <c r="H54" i="1" s="1"/>
  <c r="G58" i="1"/>
  <c r="H58" i="1" s="1"/>
  <c r="G64" i="1"/>
  <c r="H64" i="1" s="1"/>
  <c r="G75" i="1"/>
  <c r="H75" i="1" s="1"/>
  <c r="G68" i="1"/>
  <c r="H68" i="1" s="1"/>
  <c r="H69" i="1"/>
  <c r="G66" i="1"/>
  <c r="H66" i="1" s="1"/>
  <c r="G72" i="1"/>
  <c r="H72" i="1" s="1"/>
</calcChain>
</file>

<file path=xl/sharedStrings.xml><?xml version="1.0" encoding="utf-8"?>
<sst xmlns="http://schemas.openxmlformats.org/spreadsheetml/2006/main" count="1198" uniqueCount="299">
  <si>
    <t>Wysker Watch — Launch Plan (Single Tab)</t>
  </si>
  <si>
    <t>PWA launch is its own Go/No-Go, independent of App Store. Gates rebuilt from scratch (yellow = draft, confirm before it blocks). Filter by Bucket or Status using the header dropdowns. Rows tagged 'GATE' are blocking checkpoints, not tasks.</t>
  </si>
  <si>
    <t>Bucket</t>
  </si>
  <si>
    <t>Sub-Bucket</t>
  </si>
  <si>
    <t>Task ID</t>
  </si>
  <si>
    <t>Item</t>
  </si>
  <si>
    <t>Type</t>
  </si>
  <si>
    <t>Owner</t>
  </si>
  <si>
    <t>Priority</t>
  </si>
  <si>
    <t>Start Date</t>
  </si>
  <si>
    <t>Duration</t>
  </si>
  <si>
    <t>End Date</t>
  </si>
  <si>
    <t>Status</t>
  </si>
  <si>
    <t>Blocking?</t>
  </si>
  <si>
    <t>Draft/Notes</t>
  </si>
  <si>
    <t>PWA</t>
  </si>
  <si>
    <t>Launch Readiness</t>
  </si>
  <si>
    <t>Host Privacy Policy at wyskerwatch.com/privacy</t>
  </si>
  <si>
    <t>Task</t>
  </si>
  <si>
    <t>Lynn</t>
  </si>
  <si>
    <t>Critical</t>
  </si>
  <si>
    <t>Complete</t>
  </si>
  <si>
    <t>Yes</t>
  </si>
  <si>
    <t>Depends on the deletion-function confirmation above.</t>
  </si>
  <si>
    <t>Host Terms of Service at wyskerwatch.com/terms</t>
  </si>
  <si>
    <t>Mirrors the Privacy Policy hosting task. In-app /terms route + signup consent gate (spec 0047) already exist; confirm the marketing-domain page too.</t>
  </si>
  <si>
    <t>Set up support@wyskerwatch.com inbox</t>
  </si>
  <si>
    <t>High</t>
  </si>
  <si>
    <t>Still on backlog.</t>
  </si>
  <si>
    <t>Confirm backend changes pushed to all 3 Supabase projects (dev/staging/prod)</t>
  </si>
  <si>
    <t>Lynn (Claude Code)</t>
  </si>
  <si>
    <t>Has been missed before per project docs.</t>
  </si>
  <si>
    <t>Confirm production Cloudflare Worker env vars (Supabase URL/key etc.) via real prod smoke test</t>
  </si>
  <si>
    <t>wrangler.jsonc declares no secrets/bindings in-repo; presumably set in Cloudflare dashboard. Two deploy paths now exist (dashboard build vs. new "npm run deploy" script) — confirm which is authoritative before relying on either.</t>
  </si>
  <si>
    <t>Schedule a recurring (e.g. quarterly) DB restore-drill cadence</t>
  </si>
  <si>
    <t>Low</t>
  </si>
  <si>
    <t>No</t>
  </si>
  <si>
    <t>Restore pipeline is implemented and was verified once end-to-end, but only manual-trigger — no automated recurring drill is scheduled.</t>
  </si>
  <si>
    <t>Document the Cloudflare manual-deploy gate (exact dashboard path, who has access) in-repo</t>
  </si>
  <si>
    <t>Medium</t>
  </si>
  <si>
    <t>Gate exists in production but has zero in-repo representation — known only to Lynn. Bus-factor risk for launch-day and post-launch deploys.</t>
  </si>
  <si>
    <t>Decide: storage-bucket file (pet photo/document) backup coverage for launch, or explicit accepted-risk</t>
  </si>
  <si>
    <t>Nightly pg_dump-to-R2 backup (P0, resolved) explicitly excludes storage bucket files — see requirements-database-backups.md and Risk row below. No task currently owns closing or consciously accepting this gap, unlike the equivalent GDPR-export decision row above. Needs the same explicit in/out-of-scope call.</t>
  </si>
  <si>
    <t>Investigate PWA SEO</t>
  </si>
  <si>
    <t>Blocked</t>
  </si>
  <si>
    <t>Need to understand how easy it is to put SEO into the PWA. Because of the browser bug, I don't think I can do this.</t>
  </si>
  <si>
    <t>Analytics &amp; Support</t>
  </si>
  <si>
    <t>Analytics</t>
  </si>
  <si>
    <t>Validate hourly rollup against raw event log for one full day</t>
  </si>
  <si>
    <t>Sanity check before trusting the dashboard.</t>
  </si>
  <si>
    <t>Support</t>
  </si>
  <si>
    <t>Committed to in the Privacy Policy.</t>
  </si>
  <si>
    <t>Draft a minimal FAQ / help page</t>
  </si>
  <si>
    <t>Reduces first-week support load.</t>
  </si>
  <si>
    <t>Wire up production error/crash monitoring (e.g. Sentry) before launch</t>
  </si>
  <si>
    <t>No client or server error tracking exists today; only best-effort console logging inside Edge Functions.</t>
  </si>
  <si>
    <t>Testing</t>
  </si>
  <si>
    <t>Beta waitlist landing page</t>
  </si>
  <si>
    <t xml:space="preserve">Need to recruit non-friends to test the Alpha </t>
  </si>
  <si>
    <t>Waitlist signup + screener form</t>
  </si>
  <si>
    <t>sign up for testers</t>
  </si>
  <si>
    <t>Admin view for reviewing waitlist signups</t>
  </si>
  <si>
    <t>view for testers</t>
  </si>
  <si>
    <t>Signup confirmation email</t>
  </si>
  <si>
    <t>confirmation for testers</t>
  </si>
  <si>
    <t>Add Playwright coverage for Pets I Sit Wellbeing chips (spec 0037) — needs a 3rd fixture account</t>
  </si>
  <si>
    <t>Closed out by spec 0057 (2026-08-20): test4@wyskerwatch.com added as the sitter fixture account (test3@ was already claimed by spec 0053 for admin-route tests). 4 new Playwright tests added to e2e/pet-sitter.spec.js, passing against wysker-watch-dev. Migration 0051_test4_sitter_fixture_account.sql applied to all 3 Supabase projects.</t>
  </si>
  <si>
    <t>Wire Playwright E2E suite into CI (currently local-only per CLAUDE.md)</t>
  </si>
  <si>
    <t>npm run test:e2e exists and a full run was reportedly green 2026-08-07, but CI (.github/workflows/ci.yml) only runs lint/typecheck/vitest/build + Edge Function integration tests — e2e is not gated. A regression can land on main undetected until someone remembers to run the suite by hand.</t>
  </si>
  <si>
    <t>Broader hand-rolled icon-button audit (~26 files, unscoped)</t>
  </si>
  <si>
    <t>Not Started</t>
  </si>
  <si>
    <t>Rough grep for circular/clickable elements not importing IconButton returns ~26 files, too noisy to trust without a per-file read. Not yet scoped.</t>
  </si>
  <si>
    <t>Investigate login.spec.js intermittent flake (unreproduced)</t>
  </si>
  <si>
    <t>Two full-suite runs could not reproduce it and the original report never captured what failed. Trace capture is already enabled (playwright.config.js retain-on-failure) — needs a real trace next time it occurs.</t>
  </si>
  <si>
    <t>QA test plan defined per area, incl. adversarial AI-assistant prompt set</t>
  </si>
  <si>
    <t>A pass rate against zero defined tests is not a pass rate.</t>
  </si>
  <si>
    <t>Regression testing</t>
  </si>
  <si>
    <t>In Progress</t>
  </si>
  <si>
    <t>A full manual regression pass (e2e + Edge Function integration tests + in-browser smoke test) was completed and green as of 2026-08-07 per docs/launch-punch-list.md. Not Complete: (1) the Playwright e2e suite is local-only, not wired into CI (see new Testing row below), so nothing guarantees it stays green as code changes; (2) spec 0047 (signup consent gate) landed the same day as that pass and needs its own re-verification.</t>
  </si>
  <si>
    <t>Device / browser compatibility (iOS Safari + Android Chrome PWA install path)</t>
  </si>
  <si>
    <t>iOS install is manual-banner only — verify it still works.</t>
  </si>
  <si>
    <t>Accessibility pass (44px targets, contrast, never color-only)</t>
  </si>
  <si>
    <t>Performance pass</t>
  </si>
  <si>
    <t>Feature Freeze</t>
  </si>
  <si>
    <t>Milestone</t>
  </si>
  <si>
    <t>Reconcile against Claude Code's actual repo state before freezing.</t>
  </si>
  <si>
    <t>User Funnel</t>
  </si>
  <si>
    <t>Definitions</t>
  </si>
  <si>
    <t>Alpha = Friend + Stranger Cohort, validates habit stickiness</t>
  </si>
  <si>
    <t>Reference</t>
  </si>
  <si>
    <t>-</t>
  </si>
  <si>
    <t>Feeds PWA Go/No-Go gate.</t>
  </si>
  <si>
    <t>Social &amp; Content</t>
  </si>
  <si>
    <t>Pipeline</t>
  </si>
  <si>
    <t>Confirm Claude -&gt; Canva -&gt; Buffer pipeline end-to-end</t>
  </si>
  <si>
    <t>Confirm before relying on it for launch week.</t>
  </si>
  <si>
    <t>Business Readiness</t>
  </si>
  <si>
    <t>Formation</t>
  </si>
  <si>
    <t>Rename LLC</t>
  </si>
  <si>
    <t>For App Store</t>
  </si>
  <si>
    <t>Needed before D-U-N-S / Apple entity verification.</t>
  </si>
  <si>
    <t>Add DBA</t>
  </si>
  <si>
    <t>Add Wysker Watch as DBA under Double Diamond Works</t>
  </si>
  <si>
    <t>Obtain EIN</t>
  </si>
  <si>
    <t>Free via IRS.gov once LLC exists.</t>
  </si>
  <si>
    <t>Banking</t>
  </si>
  <si>
    <t>Open business bank account</t>
  </si>
  <si>
    <t>Launch Campaign</t>
  </si>
  <si>
    <t>Post-launch content cadence</t>
  </si>
  <si>
    <t>Risk</t>
  </si>
  <si>
    <t>Register</t>
  </si>
  <si>
    <t>Daily check-in habit doesn't stick with Stranger Cohort</t>
  </si>
  <si>
    <t>Now the PWA Gate's Product row — hard checkpoint. If it fires, Alpha extends before PWA launches.</t>
  </si>
  <si>
    <t>Critical production bug at or near PWA launch</t>
  </si>
  <si>
    <t>Regression + device compatibility testing completed before Feature Freeze.</t>
  </si>
  <si>
    <t>AI Assistant quality concerns</t>
  </si>
  <si>
    <t>Adversarial/edge-case prompt set required in the QA test plan.</t>
  </si>
  <si>
    <t>Real-user acquisition insufficient</t>
  </si>
  <si>
    <t>Real-User Acquisition floor gate row; Watch List campaign must be live and tracked ahead of launch.</t>
  </si>
  <si>
    <t>Single founder covering Engineering, QA, Business, Support</t>
  </si>
  <si>
    <t>Partially resolved — 2nd person now named for launch-day Support + Bug Triage.</t>
  </si>
  <si>
    <t>Apple rejection during App Store review</t>
  </si>
  <si>
    <t>TestFlight testing before submission; review current Apple guidelines close to submission time.</t>
  </si>
  <si>
    <t>D-U-N-S / Apple entity verification delays App Store timeline</t>
  </si>
  <si>
    <t>Does not block PWA launch. Start LLC/D-U-N-S early regardless.</t>
  </si>
  <si>
    <t>Support inbox unmonitored during first weeks post-launch</t>
  </si>
  <si>
    <t>Staffed as part of Launch Day + week-one cadence.</t>
  </si>
  <si>
    <t>ask-vet-assistant has no rate limiting or abuse protection</t>
  </si>
  <si>
    <t>Any authenticated account (test, demo, real) can call it unlimited times; each call is a real, billed Anthropic API request. No per-user/per-window cap exists in the Edge Function.</t>
  </si>
  <si>
    <t>No production error/crash monitoring wired up (no Sentry or equivalent)</t>
  </si>
  <si>
    <t>No client-side JS error capture or server-side error aggregation/alerting. Launch Day Runbook currently relies on manual "Monitor analytics" only.</t>
  </si>
  <si>
    <t>Pet photo/document storage files have zero backup coverage</t>
  </si>
  <si>
    <t>DB backup pipeline (nightly pg_dump to R2) is implemented, but storage-bucket files are explicitly excluded. Restore drills are also manual-trigger only, not scheduled.</t>
  </si>
  <si>
    <t>Cloudflare manual-deploy gate exists only in dashboard, undocumented</t>
  </si>
  <si>
    <t>Single point of knowledge (Lynn only). Exact settings/access list not recorded in-repo. Bus-factor risk for launch-day and post-launch deploys.</t>
  </si>
  <si>
    <t>No GDPR/CCPA data-export ("right to access") feature</t>
  </si>
  <si>
    <t>Account deletion is implemented; data export is a distinct legal obligation and appears entirely unaddressed. Needs an explicit in-scope/deferred decision if EU/CA users are in scope for launch.</t>
  </si>
  <si>
    <t>CI branch protection can be bypassed by a direct push (repo-admin bypass confirmed 2026-07-24)</t>
  </si>
  <si>
    <t>Per docs/launch-punch-list.md P0: an account with bypass permission can push directly to main without CI blocking it — GitHub logs it as a "bypassed rule violation" but does not reject the push. CI still runs and reports pass/fail after the fact, but that's after the code is already live. Not previously on the Risk Register.</t>
  </si>
  <si>
    <t>landing page for beta testers</t>
  </si>
  <si>
    <t>Behind-the-scenes teasers</t>
  </si>
  <si>
    <t>3 weeks pre-PWA-launch.</t>
  </si>
  <si>
    <t>Alpha</t>
  </si>
  <si>
    <t>Cohort</t>
  </si>
  <si>
    <t>Steve Kain (Friend)</t>
  </si>
  <si>
    <t>Tester</t>
  </si>
  <si>
    <t>Min. 3 Stranger Cohort required — only Stranger logging counts toward the PWA Gate.</t>
  </si>
  <si>
    <t>Lexi (Friend)</t>
  </si>
  <si>
    <t>Bruce Borey (Friend)</t>
  </si>
  <si>
    <t>Rick Thomas (Friend)</t>
  </si>
  <si>
    <t>Aubrey (Friend)</t>
  </si>
  <si>
    <t>Amy (Friend)</t>
  </si>
  <si>
    <t>Diana (Friend)</t>
  </si>
  <si>
    <t>PK (Friend)</t>
  </si>
  <si>
    <t>[Stranger #1 — recruit]</t>
  </si>
  <si>
    <t>[Stranger #2 — recruit]</t>
  </si>
  <si>
    <t>[Stranger #3 — recruit]</t>
  </si>
  <si>
    <t>Phase 1 Content</t>
  </si>
  <si>
    <t>Official Wysker Watch Findings — deadpan vet-note observations</t>
  </si>
  <si>
    <t>Low-frequency drip, no app mentions in body copy, never guilt-inducing.</t>
  </si>
  <si>
    <t>Problem-awareness posts</t>
  </si>
  <si>
    <t>6 weeks pre-PWA-launch.</t>
  </si>
  <si>
    <t>Watch List / signup campaign live and tracked</t>
  </si>
  <si>
    <t>Must be live and tracked, not just planned. Confirmed 2026-08-15 (spec 0056): this is the pre-App-Store-phase Watch List, a separate later list not built yet. Distinct from /early-adopters (spec 0056, shipped 2026-08-15), the pre-PWA-launch signup page for general social traffic — do not conflate the two.</t>
  </si>
  <si>
    <t>Launch day posts scheduled</t>
  </si>
  <si>
    <t>Decide daily support-check cadence for launch week</t>
  </si>
  <si>
    <t>Lynn + 2nd person</t>
  </si>
  <si>
    <t>Gate</t>
  </si>
  <si>
    <t>PWA GATE: Alpha Habit-Stickiness passed</t>
  </si>
  <si>
    <t>GATE</t>
  </si>
  <si>
    <t>DRAFT: &gt;=60% of Stranger Cohort (min. 3) log &gt;=10 of 14 committed days. Friend Cohort tracked but doesn't count. If failed: extend Alpha 2 weeks with a fresh Stranger recruit.</t>
  </si>
  <si>
    <t>Go/No-Go</t>
  </si>
  <si>
    <t>PWA GATE: No Critical bugs open</t>
  </si>
  <si>
    <t>PWA GATE: Regression passed (real, non-zero test count)</t>
  </si>
  <si>
    <t>PWA GATE: Accessibility passed</t>
  </si>
  <si>
    <t>PWA GATE: Privacy Policy hosted AND deletion confirmed working</t>
  </si>
  <si>
    <t>Hard blocker, no exception.</t>
  </si>
  <si>
    <t>PWA GATE: Support inbox staffed and monitored</t>
  </si>
  <si>
    <t>PWA GATE: Analytics clean (no undercounts, rollups un-blended)</t>
  </si>
  <si>
    <t>PWA GATE: Real-User Acquisition floor met, or explicit conscious-small-launch decision recorded</t>
  </si>
  <si>
    <t>DRAFT: set your own number — Execution Plan used 50 Watch List signups as a reference. Never a silent default.</t>
  </si>
  <si>
    <t>PWA GATE: Founder approval, in writing, same day</t>
  </si>
  <si>
    <t>No launch without this, regardless of every other row.</t>
  </si>
  <si>
    <t>PWA GATE: ask-vet-assistant rate limiting / abuse protection shipped</t>
  </si>
  <si>
    <t>Blocks unbounded, real-billed Anthropic API usage from any authenticated account (test, demo, or real) before public launch.</t>
  </si>
  <si>
    <t>Launch Day</t>
  </si>
  <si>
    <t>Runbook</t>
  </si>
  <si>
    <t>08:00 Go/No-Go meeting</t>
  </si>
  <si>
    <t>Final check against PWA Go/No-Go rows above.</t>
  </si>
  <si>
    <t>09:00 Confirm PWA live at wyskerwatch.com</t>
  </si>
  <si>
    <t>09:15 Verify deploy on Cloudflare Pages (manual gate)</t>
  </si>
  <si>
    <t>09:30 Email founders / Watch List</t>
  </si>
  <si>
    <t>10:00 Social media launch posts go live</t>
  </si>
  <si>
    <t>11:00 Monitor analytics</t>
  </si>
  <si>
    <t>[2nd person — name here]</t>
  </si>
  <si>
    <t>Watch signups and check-ins vs. Acquisition floor.</t>
  </si>
  <si>
    <t>12:00 Support inbox check</t>
  </si>
  <si>
    <t>Cannot be Lynn alongside Social Launch.</t>
  </si>
  <si>
    <t>15:00 Bug triage</t>
  </si>
  <si>
    <t>[2nd person — name here] / Lynn</t>
  </si>
  <si>
    <t>17:00 Day 1 retrospective</t>
  </si>
  <si>
    <t>Week 1: Watch spam-deliverability + DMARC clean-send threshold (50 sends) before moving to quarantine</t>
  </si>
  <si>
    <t>Branded signup email was landing in spam on Yahoo Mail pre-launch; SPF/DKIM/DMARC correctly configured but domain has no sending reputation yet.</t>
  </si>
  <si>
    <t>Store Enrollment</t>
  </si>
  <si>
    <t>D-U-N-S number</t>
  </si>
  <si>
    <t>5-30 business days — the long pole. Start the moment LLC exists.</t>
  </si>
  <si>
    <t>Apple Developer Program enrollment ($99/yr)</t>
  </si>
  <si>
    <t>1-2 days after D-U-N-S clears.</t>
  </si>
  <si>
    <t>Google Play Developer account ($25 one-time)</t>
  </si>
  <si>
    <t>No D-U-N-S dependency — much faster, can run in parallel.</t>
  </si>
  <si>
    <t>Infra</t>
  </si>
  <si>
    <t>Mac decision (Mac Mini vs. cloud Mac)</t>
  </si>
  <si>
    <t>Blocks iOS Capacitor build specifically, not Android.</t>
  </si>
  <si>
    <t>Legal/Compliance</t>
  </si>
  <si>
    <t>Decide scope: GDPR/CCPA data-export ("right to access") feature for v1, or explicit deferral</t>
  </si>
  <si>
    <t>Pet health data + owner PII collected. Deletion exists; export does not. Needs a deliberate in/out-of-scope call, not a silent gap.</t>
  </si>
  <si>
    <t>App Store</t>
  </si>
  <si>
    <t>Development</t>
  </si>
  <si>
    <t>Capacitor wrap — Android</t>
  </si>
  <si>
    <t>Zero-progress currently. Unblocked (no Mac dependency).</t>
  </si>
  <si>
    <t>Capacitor wrap — iOS</t>
  </si>
  <si>
    <t>Blocked on Mac decision (Mac Mini vs. cloud Mac).</t>
  </si>
  <si>
    <t>Native notification plugin integration</t>
  </si>
  <si>
    <t>Depends on Capacitor wrap.</t>
  </si>
  <si>
    <t>TestFlight internal testing (iOS)</t>
  </si>
  <si>
    <t>This is your 'Beta' track.</t>
  </si>
  <si>
    <t>Android internal testing track (Google Play)</t>
  </si>
  <si>
    <t>Fix critical issues from TestFlight/Android testers</t>
  </si>
  <si>
    <t>Beta = TestFlight + Android internal testers, validates native wrapper stability</t>
  </si>
  <si>
    <t>Feeds App Store Go/No-Go gate. Not general-audience recruitment.</t>
  </si>
  <si>
    <t>Requirements</t>
  </si>
  <si>
    <t>App icon (all required sizes)</t>
  </si>
  <si>
    <t>Screenshots (per device size, both stores)</t>
  </si>
  <si>
    <t>Preview video (optional)</t>
  </si>
  <si>
    <t>Store description + keywords</t>
  </si>
  <si>
    <t>Age rating questionnaire</t>
  </si>
  <si>
    <t>Support/Privacy/Terms URLs</t>
  </si>
  <si>
    <t>Confirm PWA's hosted policy satisfies both stores.</t>
  </si>
  <si>
    <t>Release notes (v1)</t>
  </si>
  <si>
    <t>In-App Purchase config</t>
  </si>
  <si>
    <t>OPEN QUESTION — only if monetization is in scope for v1.</t>
  </si>
  <si>
    <t>Phase 2 Content</t>
  </si>
  <si>
    <t>Savage Mode — 'Medical Translation' series</t>
  </si>
  <si>
    <t>Explicitly gated to launch simultaneously with App Store approval — do not schedule early.</t>
  </si>
  <si>
    <t>APP STORE GATE: PWA already passed Go/No-Go and ran 21+ consecutive clean usage days</t>
  </si>
  <si>
    <t>App Store waits for clean signal, not holiday-skewed data.</t>
  </si>
  <si>
    <t>APP STORE GATE: Business Readiness complete</t>
  </si>
  <si>
    <t>APP STORE GATE: Capacitor builds pass internal testing, no Critical bugs</t>
  </si>
  <si>
    <t>APP STORE GATE: All Requirements items complete for both stores</t>
  </si>
  <si>
    <t>APP STORE GATE: Explicit decision recorded — still worth pursuing given PWA results?</t>
  </si>
  <si>
    <t>Opt-in, not inevitable. Say yes deliberately.</t>
  </si>
  <si>
    <t>Post-Launch (PWA) = public Watch List / organic signups after PWA launch</t>
  </si>
  <si>
    <t>This is the real growth funnel.</t>
  </si>
  <si>
    <t>Ongoing = retention at scale, informs whether App Store is worth pursuing</t>
  </si>
  <si>
    <t>Includes the 21-day clean-data floor before any App Store conversation.</t>
  </si>
  <si>
    <t>Post-Launch Backlog</t>
  </si>
  <si>
    <t>V2 Parking Lot</t>
  </si>
  <si>
    <t>Compare feature (Trends tab, dual-Y-axis chart)</t>
  </si>
  <si>
    <t>Backlog</t>
  </si>
  <si>
    <t>May repurpose Base44-era implementation — confirm status via Claude Code before deletion.</t>
  </si>
  <si>
    <t>Fi / Tractive tracker integrations</t>
  </si>
  <si>
    <t>No official public APIs; unofficial wrappers carry stability/trust risk. Brainstorming only.</t>
  </si>
  <si>
    <t>Native local notifications beyond .ics export</t>
  </si>
  <si>
    <t>Depends on Capacitor being complete.</t>
  </si>
  <si>
    <t>Sitter + co-owner invite email polish</t>
  </si>
  <si>
    <t>Core functionality shipped; polish only.</t>
  </si>
  <si>
    <t>wyskerwatch.app domain</t>
  </si>
  <si>
    <t>Nice-to-have, not launch-blocking.</t>
  </si>
  <si>
    <t>Auto-populate agent to keep demo data fresh on a schedule</t>
  </si>
  <si>
    <t>Deferred pending the check-in data model, which is now built; still unstarted. Affects demo-account quality for App Store review/investor demos, not end users.</t>
  </si>
  <si>
    <t>Product Decisions</t>
  </si>
  <si>
    <t>Decide: build “Contextual Alerts” (medication/vaccination due, weight change, no check-in today) or formally drop it from scope</t>
  </si>
  <si>
    <t>Vaccination-due reminders are built and live (spec 0034, Notifications.jsx). Medication-due, weight-decreased-from-baseline, and no-check-in-today alerts do not exist anywhere in the codebase (confirmed via full grep). Needs a decision: build the remaining 3, or formally narrow scope to vaccination-only.</t>
  </si>
  <si>
    <t>Confirm Trends 'Compare' sub-tab status via Claude Code</t>
  </si>
  <si>
    <t>Currently an unbuilt placeholder — decide before Alpha whether it ships hidden or stays as-is.</t>
  </si>
  <si>
    <t>Add automated test coverage for co-owner save conflicts via the new Check-In History calendar (spec 0060)</t>
  </si>
  <si>
    <t>The underlying protection (spec 0043's conflict detection) already applies to every save through DailyCheckInSheet, including this new entry point — this is about proving it with an automated test, which needs a dedicated second co-owner test fixture account that doesn't exist yet. Borderline edge case (two co-owners editing the same past day at the same time); address after App Store launch unless it actually happens in production first.</t>
  </si>
  <si>
    <t>Summary</t>
  </si>
  <si>
    <t>Total items</t>
  </si>
  <si>
    <t>Blocking items not complete</t>
  </si>
  <si>
    <t>Gates not yet passed</t>
  </si>
  <si>
    <t>Wysker Watch — Executive Launch Dashboard</t>
  </si>
  <si>
    <t>Live view of task status, bucket readiness, sub-bucket progress, and formal launch gates</t>
  </si>
  <si>
    <t>TRACKED ITEMS</t>
  </si>
  <si>
    <t>COMPLETE</t>
  </si>
  <si>
    <t>IN PROGRESS</t>
  </si>
  <si>
    <t>BLOCKERS OPEN</t>
  </si>
  <si>
    <t>GATES PASSED</t>
  </si>
  <si>
    <t>OVERALL STATUS MIX</t>
  </si>
  <si>
    <t>BUCKET READINESS</t>
  </si>
  <si>
    <t>Count</t>
  </si>
  <si>
    <t>Total</t>
  </si>
  <si>
    <t>% Complete</t>
  </si>
  <si>
    <t>Signal</t>
  </si>
  <si>
    <t>GO / NO-GO GATES</t>
  </si>
  <si>
    <t>Green = passed  |  Amber = underway  |  Red = not passed / blocks launch decision</t>
  </si>
  <si>
    <t>Launch</t>
  </si>
  <si>
    <t>Decision</t>
  </si>
  <si>
    <t>SUB-BUCKET DETAIL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</si>
</sst>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;@"/>
    <numFmt numFmtId="165" formatCode="m/d/yy"/>
  </numFmts>
  <fonts count="10" x14ac:knownFonts="1">
    <font>
      <sz val="11"/>
      <color theme="1"/>
      <name val="Calibri"/>
    </font>
    <font>
      <b/>
      <sz val="16"/>
      <color rgb="FFFFFFFF"/>
      <name val="Arial"/>
    </font>
    <font>
      <i/>
      <sz val="10"/>
      <color rgb="FF4CC7B0"/>
      <name val="Arial"/>
    </font>
    <font>
      <b/>
      <sz val="11"/>
      <color rgb="FFFFFFFF"/>
      <name val="Arial"/>
    </font>
    <font>
      <b/>
      <sz val="11"/>
      <color rgb="FFFFFFFF"/>
      <name val="Arial"/>
    </font>
    <font>
      <sz val="11"/>
      <color rgb="FF17202A"/>
      <name val="Calibri"/>
    </font>
    <font>
      <b/>
      <sz val="11"/>
      <color rgb="FFFFFFFF"/>
      <name val="Calibri"/>
    </font>
    <font>
      <i/>
      <sz val="11"/>
      <color rgb="FF4CC7B0"/>
      <name val="Calibri"/>
    </font>
    <font>
      <b/>
      <sz val="11"/>
      <color rgb="FF17202A"/>
      <name val="Calibri"/>
    </font>
    <font>
      <i/>
      <sz val="11"/>
      <color rgb="FF64748B"/>
      <name val="Calibri"/>
    </font>
  </fonts>
  <fills count="18">
    <fill>
      <patternFill patternType="none"/>
    </fill>
    <fill>
      <patternFill patternType="gray125"/>
    </fill>
    <fill>
      <patternFill patternType="solid">
        <fgColor rgb="FF0D0F12"/>
      </patternFill>
    </fill>
    <fill>
      <patternFill patternType="solid">
        <fgColor rgb="FF1F6FB0"/>
      </patternFill>
    </fill>
    <fill>
      <patternFill patternType="solid">
        <fgColor rgb="FF0D0F12"/>
      </patternFill>
    </fill>
    <fill>
      <patternFill patternType="solid">
        <fgColor rgb="FF1F6FB0"/>
      </patternFill>
    </fill>
    <fill>
      <patternFill patternType="solid">
        <fgColor rgb="FFFFFFFF"/>
      </patternFill>
    </fill>
    <fill>
      <patternFill patternType="solid">
        <fgColor rgb="FF2AA876"/>
      </patternFill>
    </fill>
    <fill>
      <patternFill patternType="solid">
        <fgColor rgb="FFF4B942"/>
      </patternFill>
    </fill>
    <fill>
      <patternFill patternType="solid">
        <fgColor rgb="FFE05A5A"/>
      </patternFill>
    </fill>
    <fill>
      <patternFill patternType="solid">
        <fgColor rgb="FF59B9E8"/>
      </patternFill>
    </fill>
    <fill>
      <patternFill patternType="solid">
        <fgColor rgb="FFDDEBF7"/>
      </patternFill>
    </fill>
    <fill>
      <patternFill patternType="solid">
        <fgColor rgb="FFCBD5E1"/>
      </patternFill>
    </fill>
    <fill>
      <patternFill patternType="solid">
        <fgColor rgb="FFEEF3F7"/>
      </patternFill>
    </fill>
    <fill>
      <patternFill patternType="solid">
        <fgColor rgb="FFFFFFFF"/>
      </patternFill>
    </fill>
    <fill>
      <patternFill patternType="solid">
        <fgColor rgb="FF1F6FB0"/>
      </patternFill>
    </fill>
    <fill>
      <patternFill patternType="solid">
        <fgColor rgb="FFEEF3F7"/>
      </patternFill>
    </fill>
    <fill>
      <patternFill patternType="solid">
        <fgColor rgb="FFFFFFFF"/>
      </patternFill>
    </fill>
  </fills>
  <borders count="17">
    <border>
      <left/>
      <right/>
      <top/>
      <bottom/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  <border>
      <left style="thin">
        <color rgb="FFD9E2EA"/>
      </left>
      <right/>
      <top style="thin">
        <color rgb="FFD9E2EA"/>
      </top>
      <bottom/>
      <diagonal/>
    </border>
    <border>
      <left/>
      <right/>
      <top style="thin">
        <color rgb="FFD9E2EA"/>
      </top>
      <bottom/>
      <diagonal/>
    </border>
    <border>
      <left/>
      <right style="thin">
        <color rgb="FFD9E2EA"/>
      </right>
      <top style="thin">
        <color rgb="FFD9E2EA"/>
      </top>
      <bottom/>
      <diagonal/>
    </border>
    <border>
      <left style="thin">
        <color rgb="FFD9E2EA"/>
      </left>
      <right/>
      <top/>
      <bottom/>
      <diagonal/>
    </border>
    <border>
      <left/>
      <right style="thin">
        <color rgb="FFD9E2EA"/>
      </right>
      <top/>
      <bottom/>
      <diagonal/>
    </border>
    <border>
      <left style="thin">
        <color rgb="FFD9E2EA"/>
      </left>
      <right/>
      <top/>
      <bottom style="thin">
        <color rgb="FFD9E2EA"/>
      </bottom>
      <diagonal/>
    </border>
    <border>
      <left/>
      <right/>
      <top/>
      <bottom style="thin">
        <color rgb="FFD9E2EA"/>
      </bottom>
      <diagonal/>
    </border>
    <border>
      <left/>
      <right style="thin">
        <color rgb="FFD9E2EA"/>
      </right>
      <top/>
      <bottom style="thin">
        <color rgb="FFD9E2EA"/>
      </bottom>
      <diagonal/>
    </border>
    <border>
      <left style="thin">
        <color rgb="FFD9E2EA"/>
      </left>
      <right/>
      <top style="thin">
        <color rgb="FFD9E2EA"/>
      </top>
      <bottom style="thin">
        <color rgb="FFD9E2EA"/>
      </bottom>
      <diagonal/>
    </border>
    <border>
      <left/>
      <right style="thin">
        <color rgb="FFD9E2EA"/>
      </right>
      <top style="thin">
        <color rgb="FFD9E2EA"/>
      </top>
      <bottom style="thin">
        <color rgb="FFD9E2EA"/>
      </bottom>
      <diagonal/>
    </border>
    <border>
      <left/>
      <right/>
      <top style="thin">
        <color rgb="FFD9E2EA"/>
      </top>
      <bottom style="thin">
        <color rgb="FFD9E2EA"/>
      </bottom>
      <diagonal/>
    </border>
    <border>
      <left style="thin">
        <color rgb="FFD9E2EA"/>
      </left>
      <right style="thin">
        <color rgb="FFD9E2EA"/>
      </right>
      <top/>
      <bottom style="thin">
        <color rgb="FFD9E2EA"/>
      </bottom>
      <diagonal/>
    </border>
    <border>
      <left style="thin">
        <color rgb="FFD9E2EA"/>
      </left>
      <right style="thin">
        <color rgb="FFD9E2EA"/>
      </right>
      <top style="thin">
        <color rgb="FFD9E2EA"/>
      </top>
      <bottom style="thin">
        <color rgb="FFD9E2EA"/>
      </bottom>
      <diagonal/>
    </border>
    <border>
      <left style="thin">
        <color rgb="FFD9E2EA"/>
      </left>
      <right style="thin">
        <color rgb="FFD9E2EA"/>
      </right>
      <top style="thin">
        <color rgb="FFD9E2EA"/>
      </top>
      <bottom/>
      <diagonal/>
    </border>
    <border>
      <left/>
      <right/>
      <top/>
      <bottom style="medium">
        <color rgb="FF1F6FB0"/>
      </bottom>
      <diagonal/>
    </border>
  </borders>
  <cellStyleXfs count="1">
    <xf numFmtId="0" fontId="0" fillId="0" borderId="0"/>
  </cellStyleXfs>
  <cellXfs count="96">
    <xf numFmtId="0" fontId="0" fillId="0" borderId="0" xfId="0"/>
    <xf numFmtId="0" fontId="3" fillId="3" borderId="1" xfId="0" applyFont="1" applyFill="1" applyBorder="1" applyAlignment="1">
      <alignment vertical="center" wrapText="1"/>
    </xf>
    <xf numFmtId="164" fontId="0" fillId="0" borderId="0" xfId="0" applyNumberFormat="1" applyAlignment="1">
      <alignment horizontal="center" vertical="center"/>
    </xf>
    <xf numFmtId="164" fontId="3" fillId="3" borderId="1" xfId="0" applyNumberFormat="1" applyFont="1" applyFill="1" applyBorder="1" applyAlignment="1">
      <alignment horizontal="center" vertical="center" wrapText="1"/>
    </xf>
    <xf numFmtId="164" fontId="4" fillId="3" borderId="1" xfId="0" applyNumberFormat="1" applyFont="1" applyFill="1" applyBorder="1" applyAlignment="1">
      <alignment horizontal="center" vertical="center" wrapText="1"/>
    </xf>
    <xf numFmtId="1" fontId="0" fillId="0" borderId="0" xfId="0" applyNumberFormat="1" applyAlignment="1">
      <alignment horizontal="center" vertical="center"/>
    </xf>
    <xf numFmtId="1" fontId="4" fillId="3" borderId="1" xfId="0" applyNumberFormat="1" applyFont="1" applyFill="1" applyBorder="1" applyAlignment="1">
      <alignment horizontal="center" vertical="center" wrapText="1"/>
    </xf>
    <xf numFmtId="0" fontId="2" fillId="0" borderId="0" xfId="0" applyFont="1" applyAlignment="1">
      <alignment vertical="center"/>
    </xf>
    <xf numFmtId="0" fontId="5" fillId="0" borderId="0" xfId="0" applyFont="1"/>
    <xf numFmtId="0" fontId="8" fillId="11" borderId="10" xfId="0" applyFont="1" applyFill="1" applyBorder="1"/>
    <xf numFmtId="0" fontId="8" fillId="11" borderId="11" xfId="0" applyFont="1" applyFill="1" applyBorder="1"/>
    <xf numFmtId="0" fontId="5" fillId="0" borderId="9" xfId="0" applyFont="1" applyBorder="1"/>
    <xf numFmtId="0" fontId="5" fillId="0" borderId="7" xfId="0" applyFont="1" applyBorder="1"/>
    <xf numFmtId="0" fontId="5" fillId="0" borderId="11" xfId="0" applyFont="1" applyBorder="1"/>
    <xf numFmtId="0" fontId="5" fillId="0" borderId="10" xfId="0" applyFont="1" applyBorder="1"/>
    <xf numFmtId="0" fontId="5" fillId="0" borderId="4" xfId="0" applyFont="1" applyBorder="1"/>
    <xf numFmtId="0" fontId="5" fillId="0" borderId="2" xfId="0" applyFont="1" applyBorder="1"/>
    <xf numFmtId="0" fontId="6" fillId="7" borderId="9" xfId="0" applyFont="1" applyFill="1" applyBorder="1"/>
    <xf numFmtId="0" fontId="8" fillId="8" borderId="11" xfId="0" applyFont="1" applyFill="1" applyBorder="1"/>
    <xf numFmtId="0" fontId="5" fillId="12" borderId="4" xfId="0" applyFont="1" applyFill="1" applyBorder="1"/>
    <xf numFmtId="0" fontId="8" fillId="11" borderId="10" xfId="0" applyFont="1" applyFill="1" applyBorder="1" applyAlignment="1">
      <alignment horizontal="center" wrapText="1"/>
    </xf>
    <xf numFmtId="0" fontId="8" fillId="11" borderId="12" xfId="0" applyFont="1" applyFill="1" applyBorder="1" applyAlignment="1">
      <alignment horizontal="center" wrapText="1"/>
    </xf>
    <xf numFmtId="0" fontId="8" fillId="11" borderId="11" xfId="0" applyFont="1" applyFill="1" applyBorder="1" applyAlignment="1">
      <alignment horizontal="center" wrapText="1"/>
    </xf>
    <xf numFmtId="0" fontId="5" fillId="0" borderId="13" xfId="0" applyFont="1" applyBorder="1"/>
    <xf numFmtId="0" fontId="5" fillId="0" borderId="14" xfId="0" applyFont="1" applyBorder="1"/>
    <xf numFmtId="0" fontId="5" fillId="0" borderId="15" xfId="0" applyFont="1" applyBorder="1"/>
    <xf numFmtId="9" fontId="5" fillId="0" borderId="13" xfId="0" applyNumberFormat="1" applyFont="1" applyBorder="1"/>
    <xf numFmtId="9" fontId="5" fillId="0" borderId="14" xfId="0" applyNumberFormat="1" applyFont="1" applyBorder="1"/>
    <xf numFmtId="9" fontId="5" fillId="0" borderId="15" xfId="0" applyNumberFormat="1" applyFont="1" applyBorder="1"/>
    <xf numFmtId="0" fontId="6" fillId="5" borderId="10" xfId="0" applyFont="1" applyFill="1" applyBorder="1" applyAlignment="1">
      <alignment horizontal="center"/>
    </xf>
    <xf numFmtId="0" fontId="6" fillId="5" borderId="12" xfId="0" applyFont="1" applyFill="1" applyBorder="1" applyAlignment="1">
      <alignment horizontal="center"/>
    </xf>
    <xf numFmtId="0" fontId="6" fillId="5" borderId="11" xfId="0" applyFont="1" applyFill="1" applyBorder="1" applyAlignment="1">
      <alignment horizontal="center"/>
    </xf>
    <xf numFmtId="0" fontId="5" fillId="0" borderId="8" xfId="0" applyFont="1" applyBorder="1"/>
    <xf numFmtId="0" fontId="5" fillId="0" borderId="12" xfId="0" applyFont="1" applyBorder="1"/>
    <xf numFmtId="0" fontId="5" fillId="0" borderId="3" xfId="0" applyFont="1" applyBorder="1"/>
    <xf numFmtId="0" fontId="5" fillId="0" borderId="8" xfId="0" applyFont="1" applyBorder="1" applyAlignment="1">
      <alignment vertical="center"/>
    </xf>
    <xf numFmtId="0" fontId="5" fillId="0" borderId="12" xfId="0" applyFont="1" applyBorder="1" applyAlignment="1">
      <alignment vertical="center"/>
    </xf>
    <xf numFmtId="0" fontId="5" fillId="0" borderId="3" xfId="0" applyFont="1" applyBorder="1" applyAlignment="1">
      <alignment vertical="center"/>
    </xf>
    <xf numFmtId="0" fontId="5" fillId="0" borderId="8" xfId="0" applyFont="1" applyBorder="1" applyAlignment="1">
      <alignment horizontal="center" vertical="center"/>
    </xf>
    <xf numFmtId="0" fontId="5" fillId="0" borderId="12" xfId="0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6" fillId="5" borderId="0" xfId="0" applyFont="1" applyFill="1" applyAlignment="1">
      <alignment horizontal="center" wrapText="1"/>
    </xf>
    <xf numFmtId="9" fontId="5" fillId="0" borderId="8" xfId="0" applyNumberFormat="1" applyFont="1" applyBorder="1"/>
    <xf numFmtId="9" fontId="5" fillId="0" borderId="12" xfId="0" applyNumberFormat="1" applyFont="1" applyBorder="1"/>
    <xf numFmtId="9" fontId="5" fillId="0" borderId="3" xfId="0" applyNumberFormat="1" applyFont="1" applyBorder="1"/>
    <xf numFmtId="0" fontId="5" fillId="14" borderId="0" xfId="0" applyFont="1" applyFill="1"/>
    <xf numFmtId="0" fontId="6" fillId="15" borderId="16" xfId="0" applyFont="1" applyFill="1" applyBorder="1"/>
    <xf numFmtId="0" fontId="8" fillId="14" borderId="8" xfId="0" applyFont="1" applyFill="1" applyBorder="1"/>
    <xf numFmtId="0" fontId="8" fillId="14" borderId="12" xfId="0" applyFont="1" applyFill="1" applyBorder="1"/>
    <xf numFmtId="0" fontId="8" fillId="16" borderId="8" xfId="0" applyFont="1" applyFill="1" applyBorder="1" applyAlignment="1">
      <alignment horizontal="center"/>
    </xf>
    <xf numFmtId="0" fontId="8" fillId="16" borderId="12" xfId="0" applyFont="1" applyFill="1" applyBorder="1" applyAlignment="1">
      <alignment horizontal="center"/>
    </xf>
    <xf numFmtId="0" fontId="5" fillId="17" borderId="13" xfId="0" applyFont="1" applyFill="1" applyBorder="1" applyAlignment="1">
      <alignment wrapText="1"/>
    </xf>
    <xf numFmtId="165" fontId="5" fillId="17" borderId="13" xfId="0" applyNumberFormat="1" applyFont="1" applyFill="1" applyBorder="1" applyAlignment="1">
      <alignment horizontal="center" wrapText="1"/>
    </xf>
    <xf numFmtId="1" fontId="5" fillId="17" borderId="13" xfId="0" applyNumberFormat="1" applyFont="1" applyFill="1" applyBorder="1" applyAlignment="1">
      <alignment horizontal="center" wrapText="1"/>
    </xf>
    <xf numFmtId="0" fontId="5" fillId="17" borderId="14" xfId="0" applyFont="1" applyFill="1" applyBorder="1" applyAlignment="1">
      <alignment wrapText="1"/>
    </xf>
    <xf numFmtId="165" fontId="5" fillId="17" borderId="14" xfId="0" applyNumberFormat="1" applyFont="1" applyFill="1" applyBorder="1" applyAlignment="1">
      <alignment horizontal="center" wrapText="1"/>
    </xf>
    <xf numFmtId="1" fontId="5" fillId="17" borderId="14" xfId="0" applyNumberFormat="1" applyFont="1" applyFill="1" applyBorder="1" applyAlignment="1">
      <alignment horizontal="center" wrapText="1"/>
    </xf>
    <xf numFmtId="0" fontId="0" fillId="0" borderId="0" xfId="0" applyAlignment="1">
      <alignment horizontal="left"/>
    </xf>
    <xf numFmtId="0" fontId="3" fillId="3" borderId="1" xfId="0" applyFont="1" applyFill="1" applyBorder="1" applyAlignment="1">
      <alignment horizontal="left" vertical="center" wrapText="1"/>
    </xf>
    <xf numFmtId="0" fontId="5" fillId="17" borderId="13" xfId="0" applyFont="1" applyFill="1" applyBorder="1" applyAlignment="1">
      <alignment horizontal="left" wrapText="1"/>
    </xf>
    <xf numFmtId="0" fontId="5" fillId="17" borderId="14" xfId="0" applyFont="1" applyFill="1" applyBorder="1" applyAlignment="1">
      <alignment horizontal="left" wrapText="1"/>
    </xf>
    <xf numFmtId="0" fontId="6" fillId="15" borderId="16" xfId="0" applyFont="1" applyFill="1" applyBorder="1" applyAlignment="1">
      <alignment horizontal="left"/>
    </xf>
    <xf numFmtId="0" fontId="5" fillId="14" borderId="0" xfId="0" applyFont="1" applyFill="1" applyAlignment="1">
      <alignment horizontal="left"/>
    </xf>
    <xf numFmtId="0" fontId="3" fillId="3" borderId="1" xfId="0" applyFont="1" applyFill="1" applyBorder="1" applyAlignment="1">
      <alignment horizontal="center" vertical="center" wrapText="1"/>
    </xf>
    <xf numFmtId="1" fontId="0" fillId="0" borderId="0" xfId="0" applyNumberFormat="1" applyAlignment="1">
      <alignment horizontal="center"/>
    </xf>
    <xf numFmtId="1" fontId="6" fillId="15" borderId="16" xfId="0" applyNumberFormat="1" applyFont="1" applyFill="1" applyBorder="1" applyAlignment="1">
      <alignment horizontal="center"/>
    </xf>
    <xf numFmtId="1" fontId="8" fillId="16" borderId="8" xfId="0" applyNumberFormat="1" applyFont="1" applyFill="1" applyBorder="1" applyAlignment="1">
      <alignment horizontal="center"/>
    </xf>
    <xf numFmtId="1" fontId="8" fillId="16" borderId="12" xfId="0" applyNumberFormat="1" applyFont="1" applyFill="1" applyBorder="1" applyAlignment="1">
      <alignment horizontal="center"/>
    </xf>
    <xf numFmtId="0" fontId="1" fillId="2" borderId="0" xfId="0" applyFont="1" applyFill="1" applyAlignment="1">
      <alignment vertical="center"/>
    </xf>
    <xf numFmtId="0" fontId="0" fillId="0" borderId="0" xfId="0"/>
    <xf numFmtId="0" fontId="0" fillId="0" borderId="0" xfId="0" applyAlignment="1">
      <alignment horizontal="left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8" fillId="6" borderId="14" xfId="0" applyFont="1" applyFill="1" applyBorder="1" applyAlignment="1">
      <alignment horizontal="center" vertical="center"/>
    </xf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5" fillId="0" borderId="12" xfId="0" applyFont="1" applyBorder="1" applyAlignment="1">
      <alignment vertical="center" wrapText="1"/>
    </xf>
    <xf numFmtId="0" fontId="0" fillId="0" borderId="12" xfId="0" applyBorder="1"/>
    <xf numFmtId="0" fontId="5" fillId="0" borderId="8" xfId="0" applyFont="1" applyBorder="1" applyAlignment="1">
      <alignment vertical="center" wrapText="1"/>
    </xf>
    <xf numFmtId="0" fontId="6" fillId="10" borderId="0" xfId="0" applyFont="1" applyFill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0" fontId="6" fillId="8" borderId="0" xfId="0" applyFont="1" applyFill="1" applyAlignment="1">
      <alignment horizontal="center" vertical="center"/>
    </xf>
    <xf numFmtId="0" fontId="6" fillId="5" borderId="0" xfId="0" applyFont="1" applyFill="1" applyAlignment="1">
      <alignment vertical="center"/>
    </xf>
    <xf numFmtId="0" fontId="9" fillId="13" borderId="0" xfId="0" applyFont="1" applyFill="1" applyAlignment="1">
      <alignment vertical="center"/>
    </xf>
    <xf numFmtId="0" fontId="7" fillId="4" borderId="0" xfId="0" applyFont="1" applyFill="1" applyAlignment="1">
      <alignment vertical="center"/>
    </xf>
    <xf numFmtId="0" fontId="6" fillId="7" borderId="0" xfId="0" applyFont="1" applyFill="1" applyAlignment="1">
      <alignment horizontal="center" vertical="center"/>
    </xf>
    <xf numFmtId="0" fontId="6" fillId="4" borderId="0" xfId="0" applyFont="1" applyFill="1" applyAlignment="1">
      <alignment vertical="center"/>
    </xf>
    <xf numFmtId="0" fontId="6" fillId="4" borderId="0" xfId="0" applyFont="1" applyFill="1" applyAlignment="1">
      <alignment horizontal="left" vertical="center"/>
    </xf>
    <xf numFmtId="0" fontId="6" fillId="9" borderId="0" xfId="0" applyFont="1" applyFill="1" applyAlignment="1">
      <alignment horizontal="center" vertical="center"/>
    </xf>
    <xf numFmtId="0" fontId="5" fillId="0" borderId="3" xfId="0" applyFont="1" applyBorder="1" applyAlignment="1">
      <alignment vertical="center" wrapText="1"/>
    </xf>
    <xf numFmtId="0" fontId="6" fillId="5" borderId="12" xfId="0" applyFont="1" applyFill="1" applyBorder="1" applyAlignment="1">
      <alignment horizontal="center"/>
    </xf>
  </cellXfs>
  <cellStyles count="1">
    <cellStyle name="Normal" xfId="0" builtinId="0"/>
  </cellStyles>
  <dxfs count="38">
    <dxf>
      <font>
        <b/>
        <color rgb="FF155A8A"/>
      </font>
      <fill>
        <patternFill>
          <bgColor rgb="FFE8F2FC"/>
        </patternFill>
      </fill>
    </dxf>
    <dxf>
      <font>
        <b/>
        <color rgb="FFA61B1B"/>
      </font>
      <fill>
        <patternFill>
          <bgColor rgb="FFFCE8E8"/>
        </patternFill>
      </fill>
    </dxf>
    <dxf>
      <font>
        <color rgb="FF17202A"/>
      </font>
      <fill>
        <patternFill>
          <bgColor rgb="FFE2E8F0"/>
        </patternFill>
      </fill>
    </dxf>
    <dxf>
      <font>
        <b/>
        <color rgb="FF17202A"/>
      </font>
      <fill>
        <patternFill>
          <bgColor rgb="FFF4B942"/>
        </patternFill>
      </fill>
    </dxf>
    <dxf>
      <font>
        <b/>
        <color rgb="FFFFFFFF"/>
      </font>
      <fill>
        <patternFill>
          <bgColor rgb="FF2AA876"/>
        </patternFill>
      </fill>
    </dxf>
    <dxf>
      <font>
        <color rgb="FF664D03"/>
      </font>
      <fill>
        <patternFill>
          <bgColor rgb="FFFFF3CD"/>
        </patternFill>
      </fill>
    </dxf>
    <dxf>
      <font>
        <b/>
        <color rgb="FF842029"/>
      </font>
      <fill>
        <patternFill>
          <bgColor rgb="FFF8D7DA"/>
        </patternFill>
      </fill>
    </dxf>
    <dxf>
      <font>
        <b/>
        <color rgb="FFFFFFFF"/>
      </font>
      <fill>
        <patternFill>
          <bgColor rgb="FFE05A5A"/>
        </patternFill>
      </fill>
    </dxf>
    <dxf>
      <font>
        <i/>
        <color rgb="FF475569"/>
      </font>
      <fill>
        <patternFill patternType="solid">
          <bgColor rgb="FFE7ECF1"/>
        </patternFill>
      </fill>
    </dxf>
    <dxf>
      <font>
        <b/>
        <color rgb="FF17202A"/>
      </font>
      <fill>
        <patternFill patternType="solid">
          <bgColor rgb="FFDDEBF7"/>
        </patternFill>
      </fill>
    </dxf>
    <dxf>
      <font>
        <b/>
        <color rgb="FF17202A"/>
      </font>
      <fill>
        <patternFill patternType="solid">
          <bgColor rgb="FFFFF2CC"/>
        </patternFill>
      </fill>
      <border>
        <top style="thin">
          <color rgb="FFD6B656"/>
        </top>
        <bottom style="thin">
          <color rgb="FFD6B656"/>
        </bottom>
      </border>
    </dxf>
    <dxf>
      <font>
        <color rgb="FF17202A"/>
      </font>
      <fill>
        <patternFill patternType="solid">
          <bgColor rgb="FFEAF0FA"/>
        </patternFill>
      </fill>
    </dxf>
    <dxf>
      <font>
        <color rgb="FF17202A"/>
      </font>
      <fill>
        <patternFill patternType="solid">
          <bgColor rgb="FFE8F0FE"/>
        </patternFill>
      </fill>
    </dxf>
    <dxf>
      <font>
        <color rgb="FF17202A"/>
      </font>
      <fill>
        <patternFill patternType="solid">
          <bgColor rgb="FFF0F0F0"/>
        </patternFill>
      </fill>
    </dxf>
    <dxf>
      <font>
        <color rgb="FF17202A"/>
      </font>
      <fill>
        <patternFill patternType="solid">
          <bgColor rgb="FFFCEAEA"/>
        </patternFill>
      </fill>
    </dxf>
    <dxf>
      <font>
        <color rgb="FF17202A"/>
      </font>
      <fill>
        <patternFill patternType="solid">
          <bgColor rgb="FFF5F5DC"/>
        </patternFill>
      </fill>
    </dxf>
    <dxf>
      <font>
        <color rgb="FF17202A"/>
      </font>
      <fill>
        <patternFill patternType="solid">
          <bgColor rgb="FFEAF0FA"/>
        </patternFill>
      </fill>
    </dxf>
    <dxf>
      <font>
        <color rgb="FF17202A"/>
      </font>
      <fill>
        <patternFill patternType="solid">
          <bgColor rgb="FFF3E9F7"/>
        </patternFill>
      </fill>
    </dxf>
    <dxf>
      <font>
        <color rgb="FF17202A"/>
      </font>
      <fill>
        <patternFill patternType="solid">
          <bgColor rgb="FFFDEFE0"/>
        </patternFill>
      </fill>
    </dxf>
    <dxf>
      <font>
        <color rgb="FF17202A"/>
      </font>
      <fill>
        <patternFill patternType="solid">
          <bgColor rgb="FFFFF2CC"/>
        </patternFill>
      </fill>
    </dxf>
    <dxf>
      <font>
        <color rgb="FF17202A"/>
      </font>
      <fill>
        <patternFill patternType="solid">
          <bgColor rgb="FFE9F7F3"/>
        </patternFill>
      </fill>
    </dxf>
    <dxf>
      <font>
        <i/>
        <color rgb="FF475569"/>
      </font>
      <fill>
        <patternFill>
          <bgColor rgb="FFE7ECF1"/>
        </patternFill>
      </fill>
    </dxf>
    <dxf>
      <font>
        <b/>
        <color rgb="FF17202A"/>
      </font>
      <fill>
        <patternFill>
          <bgColor rgb="FFDDEBF7"/>
        </patternFill>
      </fill>
    </dxf>
    <dxf>
      <font>
        <b/>
        <color rgb="FF17202A"/>
      </font>
      <fill>
        <patternFill>
          <bgColor rgb="FFFFF2CC"/>
        </patternFill>
      </fill>
      <border>
        <top style="thin">
          <color rgb="FFD6B656"/>
        </top>
        <bottom style="thin">
          <color rgb="FFD6B656"/>
        </bottom>
      </border>
    </dxf>
    <dxf>
      <font>
        <b/>
        <color rgb="FFFFFFFF"/>
      </font>
      <fill>
        <patternFill>
          <bgColor rgb="FFE05A5A"/>
        </patternFill>
      </fill>
    </dxf>
    <dxf>
      <font>
        <b/>
        <color rgb="FF17202A"/>
      </font>
      <fill>
        <patternFill>
          <bgColor rgb="FFF4B942"/>
        </patternFill>
      </fill>
    </dxf>
    <dxf>
      <font>
        <b/>
        <color rgb="FFFFFFFF"/>
      </font>
      <fill>
        <patternFill>
          <bgColor rgb="FF2AA876"/>
        </patternFill>
      </fill>
    </dxf>
    <dxf>
      <font>
        <color rgb="FF17202A"/>
      </font>
      <fill>
        <patternFill>
          <bgColor rgb="FFCBD5E1"/>
        </patternFill>
      </fill>
    </dxf>
    <dxf>
      <font>
        <b/>
        <color rgb="FF17202A"/>
      </font>
      <fill>
        <patternFill>
          <bgColor rgb="FF59B9E8"/>
        </patternFill>
      </fill>
    </dxf>
    <dxf>
      <font>
        <b/>
        <color rgb="FF17202A"/>
      </font>
      <fill>
        <patternFill>
          <bgColor rgb="FFF4B942"/>
        </patternFill>
      </fill>
    </dxf>
    <dxf>
      <font>
        <b/>
        <color rgb="FFFFFFFF"/>
      </font>
      <fill>
        <patternFill>
          <bgColor rgb="FF2AA876"/>
        </patternFill>
      </fill>
    </dxf>
    <dxf>
      <font>
        <b/>
        <color rgb="FFFFFFFF"/>
      </font>
      <fill>
        <patternFill>
          <bgColor rgb="FFE05A5A"/>
        </patternFill>
      </fill>
    </dxf>
    <dxf>
      <font>
        <b/>
        <color rgb="FF17202A"/>
      </font>
      <fill>
        <patternFill>
          <bgColor rgb="FFF4B942"/>
        </patternFill>
      </fill>
    </dxf>
    <dxf>
      <font>
        <b/>
        <color rgb="FFFFFFFF"/>
      </font>
      <fill>
        <patternFill>
          <bgColor rgb="FF2AA876"/>
        </patternFill>
      </fill>
    </dxf>
    <dxf>
      <font>
        <color rgb="FF17202A"/>
      </font>
      <fill>
        <patternFill>
          <bgColor rgb="FFCBD5E1"/>
        </patternFill>
      </fill>
    </dxf>
    <dxf>
      <font>
        <b/>
        <color rgb="FF17202A"/>
      </font>
      <fill>
        <patternFill>
          <bgColor rgb="FF59B9E8"/>
        </patternFill>
      </fill>
    </dxf>
    <dxf>
      <font>
        <b/>
        <color rgb="FF17202A"/>
      </font>
      <fill>
        <patternFill>
          <bgColor rgb="FFF4B942"/>
        </patternFill>
      </fill>
    </dxf>
    <dxf>
      <font>
        <b/>
        <color rgb="FFFFFFFF"/>
      </font>
      <fill>
        <patternFill>
          <bgColor rgb="FF2AA876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E9F7F3"/>
      <rgbColor rgb="FF660066"/>
      <rgbColor rgb="FFFF8080"/>
      <rgbColor rgb="FF1F6FB0"/>
      <rgbColor rgb="FFF3E9F7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8F0FE"/>
      <rgbColor rgb="FFEAF0FA"/>
      <rgbColor rgb="FFF5F5DC"/>
      <rgbColor rgb="FFF0F0F0"/>
      <rgbColor rgb="FFFDEFE0"/>
      <rgbColor rgb="FFCC99FF"/>
      <rgbColor rgb="FFFCEAEA"/>
      <rgbColor rgb="FF3366FF"/>
      <rgbColor rgb="FF4CC7B0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D0F12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r>
              <a:rPr lang="en-US"/>
              <a:t>Where the work stands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Count</c:v>
          </c:tx>
          <c:spPr>
            <a:ln>
              <a:prstDash val="solid"/>
            </a:ln>
          </c:spPr>
          <c:invertIfNegative val="1"/>
          <c:cat>
            <c:strRef>
              <c:f>'Executive Dashboard'!$A$13:$A$15</c:f>
              <c:strCache>
                <c:ptCount val="3"/>
                <c:pt idx="0">
                  <c:v>Complete</c:v>
                </c:pt>
                <c:pt idx="1">
                  <c:v>In Progress</c:v>
                </c:pt>
                <c:pt idx="2">
                  <c:v>Not Started</c:v>
                </c:pt>
              </c:strCache>
            </c:strRef>
          </c:cat>
          <c:val>
            <c:numRef>
              <c:f>'Executive Dashboard'!$B$13:$B$15</c:f>
              <c:numCache>
                <c:formatCode>General</c:formatCode>
                <c:ptCount val="3"/>
                <c:pt idx="0">
                  <c:v>22</c:v>
                </c:pt>
                <c:pt idx="1">
                  <c:v>2</c:v>
                </c:pt>
                <c:pt idx="2">
                  <c:v>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32A-4290-8EFB-1851F1B948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11</xdr:row>
      <xdr:rowOff>0</xdr:rowOff>
    </xdr:from>
    <xdr:to>
      <xdr:col>6</xdr:col>
      <xdr:colOff>0</xdr:colOff>
      <xdr:row>23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90"/>
  <sheetViews>
    <sheetView showGridLines="0" workbookViewId="0">
      <selection sqref="A1:N2"/>
    </sheetView>
  </sheetViews>
  <sheetFormatPr defaultRowHeight="14.5" x14ac:dyDescent="0.35"/>
  <cols>
    <col min="1" max="1" width="19" customWidth="1"/>
    <col min="2" max="2" width="25" customWidth="1"/>
    <col min="3" max="3" width="10" customWidth="1"/>
    <col min="4" max="6" width="11" customWidth="1"/>
    <col min="7" max="7" width="13" customWidth="1"/>
    <col min="8" max="8" width="18" customWidth="1"/>
    <col min="9" max="12" width="11" customWidth="1"/>
    <col min="13" max="13" width="12" customWidth="1"/>
    <col min="14" max="14" width="14" customWidth="1"/>
  </cols>
  <sheetData>
    <row r="1" spans="1:14" ht="24" customHeight="1" x14ac:dyDescent="0.35">
      <c r="A1" s="92" t="s">
        <v>281</v>
      </c>
      <c r="B1" s="69"/>
      <c r="C1" s="69"/>
      <c r="D1" s="69"/>
      <c r="E1" s="69"/>
      <c r="F1" s="69"/>
      <c r="G1" s="69"/>
      <c r="H1" s="69"/>
      <c r="I1" s="69"/>
      <c r="J1" s="69"/>
      <c r="K1" s="69"/>
      <c r="L1" s="69"/>
      <c r="M1" s="69"/>
      <c r="N1" s="69"/>
    </row>
    <row r="2" spans="1:14" ht="24" customHeight="1" x14ac:dyDescent="0.35">
      <c r="A2" s="69"/>
      <c r="B2" s="69"/>
      <c r="C2" s="69"/>
      <c r="D2" s="69"/>
      <c r="E2" s="69"/>
      <c r="F2" s="69"/>
      <c r="G2" s="69"/>
      <c r="H2" s="69"/>
      <c r="I2" s="69"/>
      <c r="J2" s="69"/>
      <c r="K2" s="69"/>
      <c r="L2" s="69"/>
      <c r="M2" s="69"/>
      <c r="N2" s="69"/>
    </row>
    <row r="3" spans="1:14" ht="24" customHeight="1" x14ac:dyDescent="0.35">
      <c r="A3" s="89" t="s">
        <v>282</v>
      </c>
      <c r="B3" s="69"/>
      <c r="C3" s="69"/>
      <c r="D3" s="69"/>
      <c r="E3" s="69"/>
      <c r="F3" s="69"/>
      <c r="G3" s="69"/>
      <c r="H3" s="69"/>
      <c r="I3" s="69"/>
      <c r="J3" s="69"/>
      <c r="K3" s="69"/>
      <c r="L3" s="69"/>
      <c r="M3" s="69"/>
      <c r="N3" s="69"/>
    </row>
    <row r="4" spans="1:14" x14ac:dyDescent="0.35">
      <c r="A4" s="8"/>
      <c r="B4" s="8"/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</row>
    <row r="5" spans="1:14" ht="24" customHeight="1" x14ac:dyDescent="0.35">
      <c r="A5" s="85" t="s">
        <v>283</v>
      </c>
      <c r="B5" s="69"/>
      <c r="C5" s="69"/>
      <c r="D5" s="90" t="s">
        <v>284</v>
      </c>
      <c r="E5" s="69"/>
      <c r="F5" s="69"/>
      <c r="G5" s="86" t="s">
        <v>285</v>
      </c>
      <c r="H5" s="69"/>
      <c r="I5" s="69"/>
      <c r="J5" s="93" t="s">
        <v>286</v>
      </c>
      <c r="K5" s="69"/>
      <c r="L5" s="69"/>
      <c r="M5" s="84" t="s">
        <v>287</v>
      </c>
      <c r="N5" s="69"/>
    </row>
    <row r="6" spans="1:14" ht="24" customHeight="1" x14ac:dyDescent="0.35">
      <c r="A6" s="73">
        <f>COUNTIF('Launch Plan'!$K$5:$K$126,"Complete")+COUNTIF('Launch Plan'!$K$5:$K$126,"In Progress")+COUNTIF('Launch Plan'!$K$5:$K$126,"Not Started")</f>
        <v>113</v>
      </c>
      <c r="B6" s="74"/>
      <c r="C6" s="75"/>
      <c r="D6" s="73">
        <f>COUNTIF('Launch Plan'!$K$5:$K$126,"Complete")</f>
        <v>22</v>
      </c>
      <c r="E6" s="74"/>
      <c r="F6" s="75"/>
      <c r="G6" s="73">
        <f>COUNTIF('Launch Plan'!$K$5:$K$126,"In Progress")</f>
        <v>2</v>
      </c>
      <c r="H6" s="74"/>
      <c r="I6" s="75"/>
      <c r="J6" s="73">
        <f>COUNTIFS('Launch Plan'!$L$5:$L$126,"Yes",'Launch Plan'!$K$5:$K$126,"&lt;&gt;Complete")</f>
        <v>35</v>
      </c>
      <c r="K6" s="74"/>
      <c r="L6" s="75"/>
      <c r="M6" s="73" t="str">
        <f>COUNTIFS('Launch Plan'!$E$5:$E$126,"GATE",'Launch Plan'!$K$5:$K$126,"Complete")&amp;" / "&amp;COUNTIF('Launch Plan'!$E$5:$E$126,"GATE")</f>
        <v>0 / 15</v>
      </c>
      <c r="N6" s="75"/>
    </row>
    <row r="7" spans="1:14" ht="24" customHeight="1" x14ac:dyDescent="0.35">
      <c r="A7" s="76"/>
      <c r="B7" s="69"/>
      <c r="C7" s="77"/>
      <c r="D7" s="76"/>
      <c r="E7" s="69"/>
      <c r="F7" s="77"/>
      <c r="G7" s="76"/>
      <c r="H7" s="69"/>
      <c r="I7" s="77"/>
      <c r="J7" s="76"/>
      <c r="K7" s="69"/>
      <c r="L7" s="77"/>
      <c r="M7" s="76"/>
      <c r="N7" s="77"/>
    </row>
    <row r="8" spans="1:14" ht="24" customHeight="1" x14ac:dyDescent="0.35">
      <c r="A8" s="78"/>
      <c r="B8" s="79"/>
      <c r="C8" s="80"/>
      <c r="D8" s="78"/>
      <c r="E8" s="79"/>
      <c r="F8" s="80"/>
      <c r="G8" s="78"/>
      <c r="H8" s="79"/>
      <c r="I8" s="80"/>
      <c r="J8" s="78"/>
      <c r="K8" s="79"/>
      <c r="L8" s="80"/>
      <c r="M8" s="78"/>
      <c r="N8" s="80"/>
    </row>
    <row r="9" spans="1:14" x14ac:dyDescent="0.35">
      <c r="A9" s="8"/>
      <c r="B9" s="8"/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</row>
    <row r="10" spans="1:14" x14ac:dyDescent="0.35">
      <c r="A10" s="87" t="s">
        <v>288</v>
      </c>
      <c r="B10" s="69"/>
      <c r="C10" s="69"/>
      <c r="D10" s="69"/>
      <c r="E10" s="69"/>
      <c r="F10" s="69"/>
      <c r="G10" s="8"/>
      <c r="H10" s="87" t="s">
        <v>289</v>
      </c>
      <c r="I10" s="69"/>
      <c r="J10" s="69"/>
      <c r="K10" s="69"/>
      <c r="L10" s="69"/>
      <c r="M10" s="69"/>
      <c r="N10" s="69"/>
    </row>
    <row r="11" spans="1:14" x14ac:dyDescent="0.35">
      <c r="A11" s="8"/>
      <c r="B11" s="8"/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</row>
    <row r="12" spans="1:14" x14ac:dyDescent="0.35">
      <c r="A12" s="9" t="s">
        <v>12</v>
      </c>
      <c r="B12" s="10" t="s">
        <v>290</v>
      </c>
      <c r="C12" s="8"/>
      <c r="D12" s="8"/>
      <c r="E12" s="8"/>
      <c r="F12" s="8"/>
      <c r="G12" s="8"/>
      <c r="H12" s="20" t="s">
        <v>2</v>
      </c>
      <c r="I12" s="21" t="s">
        <v>291</v>
      </c>
      <c r="J12" s="21" t="s">
        <v>21</v>
      </c>
      <c r="K12" s="21" t="s">
        <v>77</v>
      </c>
      <c r="L12" s="21" t="s">
        <v>70</v>
      </c>
      <c r="M12" s="21" t="s">
        <v>292</v>
      </c>
      <c r="N12" s="22" t="s">
        <v>293</v>
      </c>
    </row>
    <row r="13" spans="1:14" x14ac:dyDescent="0.35">
      <c r="A13" s="17" t="s">
        <v>21</v>
      </c>
      <c r="B13" s="12">
        <f>COUNTIF('Launch Plan'!$K$5:$K$126,A13)</f>
        <v>22</v>
      </c>
      <c r="C13" s="8"/>
      <c r="D13" s="8"/>
      <c r="E13" s="8"/>
      <c r="F13" s="8"/>
      <c r="G13" s="8"/>
      <c r="H13" s="11" t="s">
        <v>15</v>
      </c>
      <c r="I13" s="23">
        <f>COUNTIFS('Launch Plan'!$A$5:$A$126,H13,'Launch Plan'!$K$5:$K$126,"Complete")+COUNTIFS('Launch Plan'!$A$5:$A$126,H13,'Launch Plan'!$K$5:$K$126,"In Progress")+COUNTIFS('Launch Plan'!$A$5:$A$126,H13,'Launch Plan'!$K$5:$K$126,"Not Started")</f>
        <v>34</v>
      </c>
      <c r="J13" s="23">
        <f>COUNTIFS('Launch Plan'!$A$5:$A$126,H13,'Launch Plan'!$K$5:$K$126,"Complete")</f>
        <v>15</v>
      </c>
      <c r="K13" s="23">
        <f>COUNTIFS('Launch Plan'!$A$5:$A$126,H13,'Launch Plan'!$K$5:$K$126,"In Progress")</f>
        <v>1</v>
      </c>
      <c r="L13" s="23">
        <f>COUNTIFS('Launch Plan'!$A$5:$A$126,H13,'Launch Plan'!$K$5:$K$126,"Not Started")</f>
        <v>18</v>
      </c>
      <c r="M13" s="26">
        <f t="shared" ref="M13:M22" si="0">IFERROR(J13/I13,0)</f>
        <v>0.44117647058823528</v>
      </c>
      <c r="N13" s="12" t="str">
        <f t="shared" ref="N13:N22" si="1">IF(M13=1,"READY",IF(K13&gt;0,"MOVING",IF(M13&gt;0,"PARTIAL","NOT STARTED")))</f>
        <v>MOVING</v>
      </c>
    </row>
    <row r="14" spans="1:14" x14ac:dyDescent="0.35">
      <c r="A14" s="18" t="s">
        <v>77</v>
      </c>
      <c r="B14" s="14">
        <f>COUNTIF('Launch Plan'!$K$5:$K$126,A14)</f>
        <v>2</v>
      </c>
      <c r="C14" s="8"/>
      <c r="D14" s="8"/>
      <c r="E14" s="8"/>
      <c r="F14" s="8"/>
      <c r="G14" s="8"/>
      <c r="H14" s="13" t="s">
        <v>46</v>
      </c>
      <c r="I14" s="24">
        <f>COUNTIFS('Launch Plan'!$A$5:$A$126,H14,'Launch Plan'!$K$5:$K$126,"Complete")+COUNTIFS('Launch Plan'!$A$5:$A$126,H14,'Launch Plan'!$K$5:$K$126,"In Progress")+COUNTIFS('Launch Plan'!$A$5:$A$126,H14,'Launch Plan'!$K$5:$K$126,"Not Started")</f>
        <v>5</v>
      </c>
      <c r="J14" s="24">
        <f>COUNTIFS('Launch Plan'!$A$5:$A$126,H14,'Launch Plan'!$K$5:$K$126,"Complete")</f>
        <v>4</v>
      </c>
      <c r="K14" s="24">
        <f>COUNTIFS('Launch Plan'!$A$5:$A$126,H14,'Launch Plan'!$K$5:$K$126,"In Progress")</f>
        <v>0</v>
      </c>
      <c r="L14" s="24">
        <f>COUNTIFS('Launch Plan'!$A$5:$A$126,H14,'Launch Plan'!$K$5:$K$126,"Not Started")</f>
        <v>1</v>
      </c>
      <c r="M14" s="27">
        <f t="shared" si="0"/>
        <v>0.8</v>
      </c>
      <c r="N14" s="14" t="str">
        <f t="shared" si="1"/>
        <v>PARTIAL</v>
      </c>
    </row>
    <row r="15" spans="1:14" x14ac:dyDescent="0.35">
      <c r="A15" s="19" t="s">
        <v>70</v>
      </c>
      <c r="B15" s="16">
        <f>COUNTIF('Launch Plan'!$K$5:$K$126,A15)</f>
        <v>89</v>
      </c>
      <c r="C15" s="8"/>
      <c r="D15" s="8"/>
      <c r="E15" s="8"/>
      <c r="F15" s="8"/>
      <c r="G15" s="8"/>
      <c r="H15" s="13" t="s">
        <v>86</v>
      </c>
      <c r="I15" s="24">
        <f>COUNTIFS('Launch Plan'!$A$5:$A$126,H15,'Launch Plan'!$K$5:$K$126,"Complete")+COUNTIFS('Launch Plan'!$A$5:$A$126,H15,'Launch Plan'!$K$5:$K$126,"In Progress")+COUNTIFS('Launch Plan'!$A$5:$A$126,H15,'Launch Plan'!$K$5:$K$126,"Not Started")</f>
        <v>1</v>
      </c>
      <c r="J15" s="24">
        <f>COUNTIFS('Launch Plan'!$A$5:$A$126,H15,'Launch Plan'!$K$5:$K$126,"Complete")</f>
        <v>0</v>
      </c>
      <c r="K15" s="24">
        <f>COUNTIFS('Launch Plan'!$A$5:$A$126,H15,'Launch Plan'!$K$5:$K$126,"In Progress")</f>
        <v>0</v>
      </c>
      <c r="L15" s="24">
        <f>COUNTIFS('Launch Plan'!$A$5:$A$126,H15,'Launch Plan'!$K$5:$K$126,"Not Started")</f>
        <v>1</v>
      </c>
      <c r="M15" s="27">
        <f t="shared" si="0"/>
        <v>0</v>
      </c>
      <c r="N15" s="14" t="str">
        <f t="shared" si="1"/>
        <v>NOT STARTED</v>
      </c>
    </row>
    <row r="16" spans="1:14" x14ac:dyDescent="0.35">
      <c r="A16" s="8"/>
      <c r="B16" s="8"/>
      <c r="C16" s="8"/>
      <c r="D16" s="8"/>
      <c r="E16" s="8"/>
      <c r="F16" s="8"/>
      <c r="G16" s="8"/>
      <c r="H16" s="13" t="s">
        <v>92</v>
      </c>
      <c r="I16" s="24">
        <f>COUNTIFS('Launch Plan'!$A$5:$A$126,H16,'Launch Plan'!$K$5:$K$126,"Complete")+COUNTIFS('Launch Plan'!$A$5:$A$126,H16,'Launch Plan'!$K$5:$K$126,"In Progress")+COUNTIFS('Launch Plan'!$A$5:$A$126,H16,'Launch Plan'!$K$5:$K$126,"Not Started")</f>
        <v>8</v>
      </c>
      <c r="J16" s="24">
        <f>COUNTIFS('Launch Plan'!$A$5:$A$126,H16,'Launch Plan'!$K$5:$K$126,"Complete")</f>
        <v>0</v>
      </c>
      <c r="K16" s="24">
        <f>COUNTIFS('Launch Plan'!$A$5:$A$126,H16,'Launch Plan'!$K$5:$K$126,"In Progress")</f>
        <v>1</v>
      </c>
      <c r="L16" s="24">
        <f>COUNTIFS('Launch Plan'!$A$5:$A$126,H16,'Launch Plan'!$K$5:$K$126,"Not Started")</f>
        <v>7</v>
      </c>
      <c r="M16" s="27">
        <f t="shared" si="0"/>
        <v>0</v>
      </c>
      <c r="N16" s="14" t="str">
        <f t="shared" si="1"/>
        <v>MOVING</v>
      </c>
    </row>
    <row r="17" spans="1:14" x14ac:dyDescent="0.35">
      <c r="A17" s="8"/>
      <c r="B17" s="8"/>
      <c r="C17" s="8"/>
      <c r="D17" s="8"/>
      <c r="E17" s="8"/>
      <c r="F17" s="8"/>
      <c r="G17" s="8"/>
      <c r="H17" s="13" t="s">
        <v>96</v>
      </c>
      <c r="I17" s="24">
        <f>COUNTIFS('Launch Plan'!$A$5:$A$126,H17,'Launch Plan'!$K$5:$K$126,"Complete")+COUNTIFS('Launch Plan'!$A$5:$A$126,H17,'Launch Plan'!$K$5:$K$126,"In Progress")+COUNTIFS('Launch Plan'!$A$5:$A$126,H17,'Launch Plan'!$K$5:$K$126,"Not Started")</f>
        <v>9</v>
      </c>
      <c r="J17" s="24">
        <f>COUNTIFS('Launch Plan'!$A$5:$A$126,H17,'Launch Plan'!$K$5:$K$126,"Complete")</f>
        <v>1</v>
      </c>
      <c r="K17" s="24">
        <f>COUNTIFS('Launch Plan'!$A$5:$A$126,H17,'Launch Plan'!$K$5:$K$126,"In Progress")</f>
        <v>0</v>
      </c>
      <c r="L17" s="24">
        <f>COUNTIFS('Launch Plan'!$A$5:$A$126,H17,'Launch Plan'!$K$5:$K$126,"Not Started")</f>
        <v>8</v>
      </c>
      <c r="M17" s="27">
        <f t="shared" si="0"/>
        <v>0.1111111111111111</v>
      </c>
      <c r="N17" s="14" t="str">
        <f t="shared" si="1"/>
        <v>PARTIAL</v>
      </c>
    </row>
    <row r="18" spans="1:14" x14ac:dyDescent="0.35">
      <c r="A18" s="8"/>
      <c r="B18" s="8"/>
      <c r="C18" s="8"/>
      <c r="D18" s="8"/>
      <c r="E18" s="8"/>
      <c r="F18" s="8"/>
      <c r="G18" s="8"/>
      <c r="H18" s="13" t="s">
        <v>109</v>
      </c>
      <c r="I18" s="24">
        <f>COUNTIFS('Launch Plan'!$A$5:$A$126,H18,'Launch Plan'!$K$5:$K$126,"Complete")+COUNTIFS('Launch Plan'!$A$5:$A$126,H18,'Launch Plan'!$K$5:$K$126,"In Progress")+COUNTIFS('Launch Plan'!$A$5:$A$126,H18,'Launch Plan'!$K$5:$K$126,"Not Started")</f>
        <v>14</v>
      </c>
      <c r="J18" s="24">
        <f>COUNTIFS('Launch Plan'!$A$5:$A$126,H18,'Launch Plan'!$K$5:$K$126,"Complete")</f>
        <v>2</v>
      </c>
      <c r="K18" s="24">
        <f>COUNTIFS('Launch Plan'!$A$5:$A$126,H18,'Launch Plan'!$K$5:$K$126,"In Progress")</f>
        <v>0</v>
      </c>
      <c r="L18" s="24">
        <f>COUNTIFS('Launch Plan'!$A$5:$A$126,H18,'Launch Plan'!$K$5:$K$126,"Not Started")</f>
        <v>12</v>
      </c>
      <c r="M18" s="27">
        <f t="shared" si="0"/>
        <v>0.14285714285714285</v>
      </c>
      <c r="N18" s="14" t="str">
        <f t="shared" si="1"/>
        <v>PARTIAL</v>
      </c>
    </row>
    <row r="19" spans="1:14" x14ac:dyDescent="0.35">
      <c r="A19" s="8"/>
      <c r="B19" s="8"/>
      <c r="C19" s="8"/>
      <c r="D19" s="8"/>
      <c r="E19" s="8"/>
      <c r="F19" s="8"/>
      <c r="G19" s="8"/>
      <c r="H19" s="13" t="s">
        <v>142</v>
      </c>
      <c r="I19" s="24">
        <f>COUNTIFS('Launch Plan'!$A$5:$A$126,H19,'Launch Plan'!$K$5:$K$126,"Complete")+COUNTIFS('Launch Plan'!$A$5:$A$126,H19,'Launch Plan'!$K$5:$K$126,"In Progress")+COUNTIFS('Launch Plan'!$A$5:$A$126,H19,'Launch Plan'!$K$5:$K$126,"Not Started")</f>
        <v>12</v>
      </c>
      <c r="J19" s="24">
        <f>COUNTIFS('Launch Plan'!$A$5:$A$126,H19,'Launch Plan'!$K$5:$K$126,"Complete")</f>
        <v>0</v>
      </c>
      <c r="K19" s="24">
        <f>COUNTIFS('Launch Plan'!$A$5:$A$126,H19,'Launch Plan'!$K$5:$K$126,"In Progress")</f>
        <v>0</v>
      </c>
      <c r="L19" s="24">
        <f>COUNTIFS('Launch Plan'!$A$5:$A$126,H19,'Launch Plan'!$K$5:$K$126,"Not Started")</f>
        <v>12</v>
      </c>
      <c r="M19" s="27">
        <f t="shared" si="0"/>
        <v>0</v>
      </c>
      <c r="N19" s="14" t="str">
        <f t="shared" si="1"/>
        <v>NOT STARTED</v>
      </c>
    </row>
    <row r="20" spans="1:14" x14ac:dyDescent="0.35">
      <c r="A20" s="8"/>
      <c r="B20" s="8"/>
      <c r="C20" s="8"/>
      <c r="D20" s="8"/>
      <c r="E20" s="8"/>
      <c r="F20" s="8"/>
      <c r="G20" s="8"/>
      <c r="H20" s="13" t="s">
        <v>185</v>
      </c>
      <c r="I20" s="24">
        <f>COUNTIFS('Launch Plan'!$A$5:$A$126,H20,'Launch Plan'!$K$5:$K$126,"Complete")+COUNTIFS('Launch Plan'!$A$5:$A$126,H20,'Launch Plan'!$K$5:$K$126,"In Progress")+COUNTIFS('Launch Plan'!$A$5:$A$126,H20,'Launch Plan'!$K$5:$K$126,"Not Started")</f>
        <v>10</v>
      </c>
      <c r="J20" s="24">
        <f>COUNTIFS('Launch Plan'!$A$5:$A$126,H20,'Launch Plan'!$K$5:$K$126,"Complete")</f>
        <v>0</v>
      </c>
      <c r="K20" s="24">
        <f>COUNTIFS('Launch Plan'!$A$5:$A$126,H20,'Launch Plan'!$K$5:$K$126,"In Progress")</f>
        <v>0</v>
      </c>
      <c r="L20" s="24">
        <f>COUNTIFS('Launch Plan'!$A$5:$A$126,H20,'Launch Plan'!$K$5:$K$126,"Not Started")</f>
        <v>10</v>
      </c>
      <c r="M20" s="27">
        <f t="shared" si="0"/>
        <v>0</v>
      </c>
      <c r="N20" s="14" t="str">
        <f t="shared" si="1"/>
        <v>NOT STARTED</v>
      </c>
    </row>
    <row r="21" spans="1:14" x14ac:dyDescent="0.35">
      <c r="A21" s="8"/>
      <c r="B21" s="8"/>
      <c r="C21" s="8"/>
      <c r="D21" s="8"/>
      <c r="E21" s="8"/>
      <c r="F21" s="8"/>
      <c r="G21" s="8"/>
      <c r="H21" s="13" t="s">
        <v>216</v>
      </c>
      <c r="I21" s="24">
        <f>COUNTIFS('Launch Plan'!$A$5:$A$126,H21,'Launch Plan'!$K$5:$K$126,"Complete")+COUNTIFS('Launch Plan'!$A$5:$A$126,H21,'Launch Plan'!$K$5:$K$126,"In Progress")+COUNTIFS('Launch Plan'!$A$5:$A$126,H21,'Launch Plan'!$K$5:$K$126,"Not Started")</f>
        <v>19</v>
      </c>
      <c r="J21" s="24">
        <f>COUNTIFS('Launch Plan'!$A$5:$A$126,H21,'Launch Plan'!$K$5:$K$126,"Complete")</f>
        <v>0</v>
      </c>
      <c r="K21" s="24">
        <f>COUNTIFS('Launch Plan'!$A$5:$A$126,H21,'Launch Plan'!$K$5:$K$126,"In Progress")</f>
        <v>0</v>
      </c>
      <c r="L21" s="24">
        <f>COUNTIFS('Launch Plan'!$A$5:$A$126,H21,'Launch Plan'!$K$5:$K$126,"Not Started")</f>
        <v>19</v>
      </c>
      <c r="M21" s="27">
        <f t="shared" si="0"/>
        <v>0</v>
      </c>
      <c r="N21" s="14" t="str">
        <f t="shared" si="1"/>
        <v>NOT STARTED</v>
      </c>
    </row>
    <row r="22" spans="1:14" x14ac:dyDescent="0.35">
      <c r="A22" s="8"/>
      <c r="B22" s="8"/>
      <c r="C22" s="8"/>
      <c r="D22" s="8"/>
      <c r="E22" s="8"/>
      <c r="F22" s="8"/>
      <c r="G22" s="8"/>
      <c r="H22" s="15" t="s">
        <v>255</v>
      </c>
      <c r="I22" s="25">
        <f>COUNTIFS('Launch Plan'!$A$5:$A$126,H22,'Launch Plan'!$K$5:$K$126,"Complete")+COUNTIFS('Launch Plan'!$A$5:$A$126,H22,'Launch Plan'!$K$5:$K$126,"In Progress")+COUNTIFS('Launch Plan'!$A$5:$A$126,H22,'Launch Plan'!$K$5:$K$126,"Not Started")</f>
        <v>1</v>
      </c>
      <c r="J22" s="25">
        <f>COUNTIFS('Launch Plan'!$A$5:$A$126,H22,'Launch Plan'!$K$5:$K$126,"Complete")</f>
        <v>0</v>
      </c>
      <c r="K22" s="25">
        <f>COUNTIFS('Launch Plan'!$A$5:$A$126,H22,'Launch Plan'!$K$5:$K$126,"In Progress")</f>
        <v>0</v>
      </c>
      <c r="L22" s="25">
        <f>COUNTIFS('Launch Plan'!$A$5:$A$126,H22,'Launch Plan'!$K$5:$K$126,"Not Started")</f>
        <v>1</v>
      </c>
      <c r="M22" s="28">
        <f t="shared" si="0"/>
        <v>0</v>
      </c>
      <c r="N22" s="16" t="str">
        <f t="shared" si="1"/>
        <v>NOT STARTED</v>
      </c>
    </row>
    <row r="23" spans="1:14" x14ac:dyDescent="0.35">
      <c r="A23" s="8"/>
      <c r="B23" s="8"/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</row>
    <row r="24" spans="1:14" x14ac:dyDescent="0.35">
      <c r="A24" s="8"/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</row>
    <row r="25" spans="1:14" x14ac:dyDescent="0.35">
      <c r="A25" s="8"/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</row>
    <row r="26" spans="1:14" x14ac:dyDescent="0.35">
      <c r="A26" s="91" t="s">
        <v>294</v>
      </c>
      <c r="B26" s="69"/>
      <c r="C26" s="69"/>
      <c r="D26" s="69"/>
      <c r="E26" s="69"/>
      <c r="F26" s="69"/>
      <c r="G26" s="69"/>
      <c r="H26" s="69"/>
      <c r="I26" s="69"/>
      <c r="J26" s="69"/>
      <c r="K26" s="69"/>
      <c r="L26" s="69"/>
      <c r="M26" s="69"/>
      <c r="N26" s="69"/>
    </row>
    <row r="27" spans="1:14" x14ac:dyDescent="0.35">
      <c r="A27" s="88" t="s">
        <v>295</v>
      </c>
      <c r="B27" s="69"/>
      <c r="C27" s="69"/>
      <c r="D27" s="69"/>
      <c r="E27" s="69"/>
      <c r="F27" s="69"/>
      <c r="G27" s="69"/>
      <c r="H27" s="69"/>
      <c r="I27" s="69"/>
      <c r="J27" s="69"/>
      <c r="K27" s="69"/>
      <c r="L27" s="69"/>
      <c r="M27" s="69"/>
      <c r="N27" s="69"/>
    </row>
    <row r="28" spans="1:14" x14ac:dyDescent="0.35">
      <c r="A28" s="8"/>
      <c r="B28" s="8"/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</row>
    <row r="29" spans="1:14" x14ac:dyDescent="0.35">
      <c r="A29" s="29" t="s">
        <v>296</v>
      </c>
      <c r="B29" s="95" t="s">
        <v>167</v>
      </c>
      <c r="C29" s="82"/>
      <c r="D29" s="82"/>
      <c r="E29" s="82"/>
      <c r="F29" s="82"/>
      <c r="G29" s="82"/>
      <c r="H29" s="82"/>
      <c r="I29" s="82"/>
      <c r="J29" s="82"/>
      <c r="K29" s="82"/>
      <c r="L29" s="30" t="s">
        <v>12</v>
      </c>
      <c r="M29" s="30" t="s">
        <v>13</v>
      </c>
      <c r="N29" s="31" t="s">
        <v>297</v>
      </c>
    </row>
    <row r="30" spans="1:14" ht="28" customHeight="1" x14ac:dyDescent="0.35">
      <c r="A30" s="35" t="str">
        <f>'Launch Plan'!A71</f>
        <v>Alpha</v>
      </c>
      <c r="B30" s="83" t="str">
        <f>'Launch Plan'!D71</f>
        <v>PWA GATE: Alpha Habit-Stickiness passed</v>
      </c>
      <c r="C30" s="79"/>
      <c r="D30" s="79"/>
      <c r="E30" s="79"/>
      <c r="F30" s="79"/>
      <c r="G30" s="79"/>
      <c r="H30" s="79"/>
      <c r="I30" s="79"/>
      <c r="J30" s="79"/>
      <c r="K30" s="79"/>
      <c r="L30" s="38" t="str">
        <f>'Launch Plan'!K71</f>
        <v>Not Started</v>
      </c>
      <c r="M30" s="38" t="str">
        <f>'Launch Plan'!L71</f>
        <v>Yes</v>
      </c>
      <c r="N30" s="38" t="str">
        <f t="shared" ref="N30:N44" si="2">IF(L30="Complete","GO",IF(L30="In Progress","WATCH","NO-GO"))</f>
        <v>NO-GO</v>
      </c>
    </row>
    <row r="31" spans="1:14" ht="28" customHeight="1" x14ac:dyDescent="0.35">
      <c r="A31" s="36" t="str">
        <f>'Launch Plan'!A72</f>
        <v>PWA</v>
      </c>
      <c r="B31" s="81" t="str">
        <f>'Launch Plan'!D72</f>
        <v>PWA GATE: No Critical bugs open</v>
      </c>
      <c r="C31" s="82"/>
      <c r="D31" s="82"/>
      <c r="E31" s="82"/>
      <c r="F31" s="82"/>
      <c r="G31" s="82"/>
      <c r="H31" s="82"/>
      <c r="I31" s="82"/>
      <c r="J31" s="82"/>
      <c r="K31" s="82"/>
      <c r="L31" s="39" t="str">
        <f>'Launch Plan'!K72</f>
        <v>Not Started</v>
      </c>
      <c r="M31" s="39" t="str">
        <f>'Launch Plan'!L72</f>
        <v>Yes</v>
      </c>
      <c r="N31" s="39" t="str">
        <f t="shared" si="2"/>
        <v>NO-GO</v>
      </c>
    </row>
    <row r="32" spans="1:14" ht="28" customHeight="1" x14ac:dyDescent="0.35">
      <c r="A32" s="36" t="str">
        <f>'Launch Plan'!A73</f>
        <v>PWA</v>
      </c>
      <c r="B32" s="81" t="str">
        <f>'Launch Plan'!D73</f>
        <v>PWA GATE: Regression passed (real, non-zero test count)</v>
      </c>
      <c r="C32" s="82"/>
      <c r="D32" s="82"/>
      <c r="E32" s="82"/>
      <c r="F32" s="82"/>
      <c r="G32" s="82"/>
      <c r="H32" s="82"/>
      <c r="I32" s="82"/>
      <c r="J32" s="82"/>
      <c r="K32" s="82"/>
      <c r="L32" s="39" t="str">
        <f>'Launch Plan'!K73</f>
        <v>Not Started</v>
      </c>
      <c r="M32" s="39" t="str">
        <f>'Launch Plan'!L73</f>
        <v>Yes</v>
      </c>
      <c r="N32" s="39" t="str">
        <f t="shared" si="2"/>
        <v>NO-GO</v>
      </c>
    </row>
    <row r="33" spans="1:14" ht="28" customHeight="1" x14ac:dyDescent="0.35">
      <c r="A33" s="36" t="str">
        <f>'Launch Plan'!A74</f>
        <v>PWA</v>
      </c>
      <c r="B33" s="81" t="str">
        <f>'Launch Plan'!D74</f>
        <v>PWA GATE: Accessibility passed</v>
      </c>
      <c r="C33" s="82"/>
      <c r="D33" s="82"/>
      <c r="E33" s="82"/>
      <c r="F33" s="82"/>
      <c r="G33" s="82"/>
      <c r="H33" s="82"/>
      <c r="I33" s="82"/>
      <c r="J33" s="82"/>
      <c r="K33" s="82"/>
      <c r="L33" s="39" t="str">
        <f>'Launch Plan'!K74</f>
        <v>Not Started</v>
      </c>
      <c r="M33" s="39" t="str">
        <f>'Launch Plan'!L74</f>
        <v>Yes</v>
      </c>
      <c r="N33" s="39" t="str">
        <f t="shared" si="2"/>
        <v>NO-GO</v>
      </c>
    </row>
    <row r="34" spans="1:14" ht="28" customHeight="1" x14ac:dyDescent="0.35">
      <c r="A34" s="36" t="str">
        <f>'Launch Plan'!A75</f>
        <v>PWA</v>
      </c>
      <c r="B34" s="81" t="str">
        <f>'Launch Plan'!D75</f>
        <v>PWA GATE: Privacy Policy hosted AND deletion confirmed working</v>
      </c>
      <c r="C34" s="82"/>
      <c r="D34" s="82"/>
      <c r="E34" s="82"/>
      <c r="F34" s="82"/>
      <c r="G34" s="82"/>
      <c r="H34" s="82"/>
      <c r="I34" s="82"/>
      <c r="J34" s="82"/>
      <c r="K34" s="82"/>
      <c r="L34" s="39" t="str">
        <f>'Launch Plan'!K75</f>
        <v>Not Started</v>
      </c>
      <c r="M34" s="39" t="str">
        <f>'Launch Plan'!L75</f>
        <v>Yes</v>
      </c>
      <c r="N34" s="39" t="str">
        <f t="shared" si="2"/>
        <v>NO-GO</v>
      </c>
    </row>
    <row r="35" spans="1:14" ht="28" customHeight="1" x14ac:dyDescent="0.35">
      <c r="A35" s="36" t="str">
        <f>'Launch Plan'!A76</f>
        <v>PWA</v>
      </c>
      <c r="B35" s="81" t="str">
        <f>'Launch Plan'!D76</f>
        <v>PWA GATE: Support inbox staffed and monitored</v>
      </c>
      <c r="C35" s="82"/>
      <c r="D35" s="82"/>
      <c r="E35" s="82"/>
      <c r="F35" s="82"/>
      <c r="G35" s="82"/>
      <c r="H35" s="82"/>
      <c r="I35" s="82"/>
      <c r="J35" s="82"/>
      <c r="K35" s="82"/>
      <c r="L35" s="39" t="str">
        <f>'Launch Plan'!K76</f>
        <v>Not Started</v>
      </c>
      <c r="M35" s="39" t="str">
        <f>'Launch Plan'!L76</f>
        <v>Yes</v>
      </c>
      <c r="N35" s="39" t="str">
        <f t="shared" si="2"/>
        <v>NO-GO</v>
      </c>
    </row>
    <row r="36" spans="1:14" ht="28" customHeight="1" x14ac:dyDescent="0.35">
      <c r="A36" s="36" t="str">
        <f>'Launch Plan'!A77</f>
        <v>PWA</v>
      </c>
      <c r="B36" s="81" t="str">
        <f>'Launch Plan'!D77</f>
        <v>PWA GATE: Analytics clean (no undercounts, rollups un-blended)</v>
      </c>
      <c r="C36" s="82"/>
      <c r="D36" s="82"/>
      <c r="E36" s="82"/>
      <c r="F36" s="82"/>
      <c r="G36" s="82"/>
      <c r="H36" s="82"/>
      <c r="I36" s="82"/>
      <c r="J36" s="82"/>
      <c r="K36" s="82"/>
      <c r="L36" s="39" t="str">
        <f>'Launch Plan'!K77</f>
        <v>Not Started</v>
      </c>
      <c r="M36" s="39" t="str">
        <f>'Launch Plan'!L77</f>
        <v>Yes</v>
      </c>
      <c r="N36" s="39" t="str">
        <f t="shared" si="2"/>
        <v>NO-GO</v>
      </c>
    </row>
    <row r="37" spans="1:14" ht="28" customHeight="1" x14ac:dyDescent="0.35">
      <c r="A37" s="36" t="str">
        <f>'Launch Plan'!A78</f>
        <v>PWA</v>
      </c>
      <c r="B37" s="81" t="str">
        <f>'Launch Plan'!D78</f>
        <v>PWA GATE: Real-User Acquisition floor met, or explicit conscious-small-launch decision recorded</v>
      </c>
      <c r="C37" s="82"/>
      <c r="D37" s="82"/>
      <c r="E37" s="82"/>
      <c r="F37" s="82"/>
      <c r="G37" s="82"/>
      <c r="H37" s="82"/>
      <c r="I37" s="82"/>
      <c r="J37" s="82"/>
      <c r="K37" s="82"/>
      <c r="L37" s="39" t="str">
        <f>'Launch Plan'!K78</f>
        <v>Not Started</v>
      </c>
      <c r="M37" s="39" t="str">
        <f>'Launch Plan'!L78</f>
        <v>Yes</v>
      </c>
      <c r="N37" s="39" t="str">
        <f t="shared" si="2"/>
        <v>NO-GO</v>
      </c>
    </row>
    <row r="38" spans="1:14" ht="28" customHeight="1" x14ac:dyDescent="0.35">
      <c r="A38" s="36" t="str">
        <f>'Launch Plan'!A79</f>
        <v>PWA</v>
      </c>
      <c r="B38" s="81" t="str">
        <f>'Launch Plan'!D79</f>
        <v>PWA GATE: Founder approval, in writing, same day</v>
      </c>
      <c r="C38" s="82"/>
      <c r="D38" s="82"/>
      <c r="E38" s="82"/>
      <c r="F38" s="82"/>
      <c r="G38" s="82"/>
      <c r="H38" s="82"/>
      <c r="I38" s="82"/>
      <c r="J38" s="82"/>
      <c r="K38" s="82"/>
      <c r="L38" s="39" t="str">
        <f>'Launch Plan'!K79</f>
        <v>Not Started</v>
      </c>
      <c r="M38" s="39" t="str">
        <f>'Launch Plan'!L79</f>
        <v>Yes</v>
      </c>
      <c r="N38" s="39" t="str">
        <f t="shared" si="2"/>
        <v>NO-GO</v>
      </c>
    </row>
    <row r="39" spans="1:14" ht="28" customHeight="1" x14ac:dyDescent="0.35">
      <c r="A39" s="36" t="str">
        <f>'Launch Plan'!A80</f>
        <v>PWA</v>
      </c>
      <c r="B39" s="81" t="str">
        <f>'Launch Plan'!D80</f>
        <v>PWA GATE: ask-vet-assistant rate limiting / abuse protection shipped</v>
      </c>
      <c r="C39" s="82"/>
      <c r="D39" s="82"/>
      <c r="E39" s="82"/>
      <c r="F39" s="82"/>
      <c r="G39" s="82"/>
      <c r="H39" s="82"/>
      <c r="I39" s="82"/>
      <c r="J39" s="82"/>
      <c r="K39" s="82"/>
      <c r="L39" s="39" t="str">
        <f>'Launch Plan'!K80</f>
        <v>Not Started</v>
      </c>
      <c r="M39" s="39" t="str">
        <f>'Launch Plan'!L80</f>
        <v>Yes</v>
      </c>
      <c r="N39" s="39" t="str">
        <f t="shared" si="2"/>
        <v>NO-GO</v>
      </c>
    </row>
    <row r="40" spans="1:14" ht="28" customHeight="1" x14ac:dyDescent="0.35">
      <c r="A40" s="36" t="str">
        <f>'Launch Plan'!A112</f>
        <v>App Store</v>
      </c>
      <c r="B40" s="81" t="str">
        <f>'Launch Plan'!D112</f>
        <v>APP STORE GATE: PWA already passed Go/No-Go and ran 21+ consecutive clean usage days</v>
      </c>
      <c r="C40" s="82"/>
      <c r="D40" s="82"/>
      <c r="E40" s="82"/>
      <c r="F40" s="82"/>
      <c r="G40" s="82"/>
      <c r="H40" s="82"/>
      <c r="I40" s="82"/>
      <c r="J40" s="82"/>
      <c r="K40" s="82"/>
      <c r="L40" s="39" t="str">
        <f>'Launch Plan'!K112</f>
        <v>Not Started</v>
      </c>
      <c r="M40" s="39" t="str">
        <f>'Launch Plan'!L112</f>
        <v>Yes</v>
      </c>
      <c r="N40" s="39" t="str">
        <f t="shared" si="2"/>
        <v>NO-GO</v>
      </c>
    </row>
    <row r="41" spans="1:14" ht="28" customHeight="1" x14ac:dyDescent="0.35">
      <c r="A41" s="36" t="str">
        <f>'Launch Plan'!A113</f>
        <v>App Store</v>
      </c>
      <c r="B41" s="81" t="str">
        <f>'Launch Plan'!D113</f>
        <v>APP STORE GATE: Business Readiness complete</v>
      </c>
      <c r="C41" s="82"/>
      <c r="D41" s="82"/>
      <c r="E41" s="82"/>
      <c r="F41" s="82"/>
      <c r="G41" s="82"/>
      <c r="H41" s="82"/>
      <c r="I41" s="82"/>
      <c r="J41" s="82"/>
      <c r="K41" s="82"/>
      <c r="L41" s="39" t="str">
        <f>'Launch Plan'!K113</f>
        <v>Not Started</v>
      </c>
      <c r="M41" s="39" t="str">
        <f>'Launch Plan'!L113</f>
        <v>Yes</v>
      </c>
      <c r="N41" s="39" t="str">
        <f t="shared" si="2"/>
        <v>NO-GO</v>
      </c>
    </row>
    <row r="42" spans="1:14" ht="28" customHeight="1" x14ac:dyDescent="0.35">
      <c r="A42" s="36" t="str">
        <f>'Launch Plan'!A114</f>
        <v>App Store</v>
      </c>
      <c r="B42" s="81" t="str">
        <f>'Launch Plan'!D114</f>
        <v>APP STORE GATE: Capacitor builds pass internal testing, no Critical bugs</v>
      </c>
      <c r="C42" s="82"/>
      <c r="D42" s="82"/>
      <c r="E42" s="82"/>
      <c r="F42" s="82"/>
      <c r="G42" s="82"/>
      <c r="H42" s="82"/>
      <c r="I42" s="82"/>
      <c r="J42" s="82"/>
      <c r="K42" s="82"/>
      <c r="L42" s="39" t="str">
        <f>'Launch Plan'!K114</f>
        <v>Not Started</v>
      </c>
      <c r="M42" s="39" t="str">
        <f>'Launch Plan'!L114</f>
        <v>Yes</v>
      </c>
      <c r="N42" s="39" t="str">
        <f t="shared" si="2"/>
        <v>NO-GO</v>
      </c>
    </row>
    <row r="43" spans="1:14" ht="28" customHeight="1" x14ac:dyDescent="0.35">
      <c r="A43" s="36" t="str">
        <f>'Launch Plan'!A115</f>
        <v>App Store</v>
      </c>
      <c r="B43" s="81" t="str">
        <f>'Launch Plan'!D115</f>
        <v>APP STORE GATE: All Requirements items complete for both stores</v>
      </c>
      <c r="C43" s="82"/>
      <c r="D43" s="82"/>
      <c r="E43" s="82"/>
      <c r="F43" s="82"/>
      <c r="G43" s="82"/>
      <c r="H43" s="82"/>
      <c r="I43" s="82"/>
      <c r="J43" s="82"/>
      <c r="K43" s="82"/>
      <c r="L43" s="39" t="str">
        <f>'Launch Plan'!K115</f>
        <v>Not Started</v>
      </c>
      <c r="M43" s="39" t="str">
        <f>'Launch Plan'!L115</f>
        <v>Yes</v>
      </c>
      <c r="N43" s="39" t="str">
        <f t="shared" si="2"/>
        <v>NO-GO</v>
      </c>
    </row>
    <row r="44" spans="1:14" ht="28" customHeight="1" x14ac:dyDescent="0.35">
      <c r="A44" s="37" t="str">
        <f>'Launch Plan'!A116</f>
        <v>App Store</v>
      </c>
      <c r="B44" s="94" t="str">
        <f>'Launch Plan'!D116</f>
        <v>APP STORE GATE: Explicit decision recorded — still worth pursuing given PWA results?</v>
      </c>
      <c r="C44" s="74"/>
      <c r="D44" s="74"/>
      <c r="E44" s="74"/>
      <c r="F44" s="74"/>
      <c r="G44" s="74"/>
      <c r="H44" s="74"/>
      <c r="I44" s="74"/>
      <c r="J44" s="74"/>
      <c r="K44" s="74"/>
      <c r="L44" s="40" t="str">
        <f>'Launch Plan'!K116</f>
        <v>Not Started</v>
      </c>
      <c r="M44" s="40" t="str">
        <f>'Launch Plan'!L116</f>
        <v>Yes</v>
      </c>
      <c r="N44" s="40" t="str">
        <f t="shared" si="2"/>
        <v>NO-GO</v>
      </c>
    </row>
    <row r="45" spans="1:14" x14ac:dyDescent="0.35">
      <c r="A45" s="8"/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</row>
    <row r="46" spans="1:14" x14ac:dyDescent="0.35">
      <c r="A46" s="8"/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</row>
    <row r="47" spans="1:14" x14ac:dyDescent="0.35">
      <c r="A47" s="91" t="s">
        <v>298</v>
      </c>
      <c r="B47" s="69"/>
      <c r="C47" s="69"/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</row>
    <row r="48" spans="1:14" x14ac:dyDescent="0.35">
      <c r="A48" s="8"/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</row>
    <row r="49" spans="1:14" x14ac:dyDescent="0.35">
      <c r="A49" s="41" t="s">
        <v>2</v>
      </c>
      <c r="B49" s="41" t="s">
        <v>3</v>
      </c>
      <c r="C49" s="41" t="s">
        <v>291</v>
      </c>
      <c r="D49" s="41" t="s">
        <v>21</v>
      </c>
      <c r="E49" s="41" t="s">
        <v>77</v>
      </c>
      <c r="F49" s="41" t="s">
        <v>70</v>
      </c>
      <c r="G49" s="41" t="s">
        <v>292</v>
      </c>
      <c r="H49" s="41" t="s">
        <v>293</v>
      </c>
      <c r="I49" s="8"/>
      <c r="J49" s="8"/>
      <c r="K49" s="8"/>
      <c r="L49" s="8"/>
      <c r="M49" s="8"/>
      <c r="N49" s="8"/>
    </row>
    <row r="50" spans="1:14" x14ac:dyDescent="0.35">
      <c r="A50" s="32" t="s">
        <v>15</v>
      </c>
      <c r="B50" s="32" t="s">
        <v>16</v>
      </c>
      <c r="C50" s="32">
        <f>COUNTIFS('Launch Plan'!$A$5:$A$126,A50,'Launch Plan'!$B$5:$B$126,B50,'Launch Plan'!$K$5:$K$126,"Complete")+COUNTIFS('Launch Plan'!$A$5:$A$126,A50,'Launch Plan'!$B$5:$B$126,B50,'Launch Plan'!$K$5:$K$126,"In Progress")+COUNTIFS('Launch Plan'!$A$5:$A$126,A50,'Launch Plan'!$B$5:$B$126,B50,'Launch Plan'!$K$5:$K$126,"Not Started")</f>
        <v>8</v>
      </c>
      <c r="D50" s="32">
        <f>COUNTIFS('Launch Plan'!$A$5:$A$126,A50,'Launch Plan'!$B$5:$B$126,B50,'Launch Plan'!$K$5:$K$126,"Complete")</f>
        <v>8</v>
      </c>
      <c r="E50" s="32">
        <f>COUNTIFS('Launch Plan'!$A$5:$A$126,A50,'Launch Plan'!$B$5:$B$126,B50,'Launch Plan'!$K$5:$K$126,"In Progress")</f>
        <v>0</v>
      </c>
      <c r="F50" s="32">
        <f>COUNTIFS('Launch Plan'!$A$5:$A$126,A50,'Launch Plan'!$B$5:$B$126,B50,'Launch Plan'!$K$5:$K$126,"Not Started")</f>
        <v>0</v>
      </c>
      <c r="G50" s="42">
        <f t="shared" ref="G50:G75" si="3">IFERROR(D50/C50,0)</f>
        <v>1</v>
      </c>
      <c r="H50" s="32" t="str">
        <f t="shared" ref="H50:H75" si="4">IF(G50=1,"READY",IF(E50&gt;0,"MOVING",IF(G50&gt;0,"PARTIAL","NOT STARTED")))</f>
        <v>READY</v>
      </c>
      <c r="I50" s="8"/>
      <c r="J50" s="8"/>
      <c r="K50" s="8"/>
      <c r="L50" s="8"/>
      <c r="M50" s="8"/>
      <c r="N50" s="8"/>
    </row>
    <row r="51" spans="1:14" x14ac:dyDescent="0.35">
      <c r="A51" s="33" t="s">
        <v>15</v>
      </c>
      <c r="B51" s="33" t="s">
        <v>56</v>
      </c>
      <c r="C51" s="33">
        <f>COUNTIFS('Launch Plan'!$A$5:$A$126,A51,'Launch Plan'!$B$5:$B$126,B51,'Launch Plan'!$K$5:$K$126,"Complete")+COUNTIFS('Launch Plan'!$A$5:$A$126,A51,'Launch Plan'!$B$5:$B$126,B51,'Launch Plan'!$K$5:$K$126,"In Progress")+COUNTIFS('Launch Plan'!$A$5:$A$126,A51,'Launch Plan'!$B$5:$B$126,B51,'Launch Plan'!$K$5:$K$126,"Not Started")</f>
        <v>15</v>
      </c>
      <c r="D51" s="33">
        <f>COUNTIFS('Launch Plan'!$A$5:$A$126,A51,'Launch Plan'!$B$5:$B$126,B51,'Launch Plan'!$K$5:$K$126,"Complete")</f>
        <v>7</v>
      </c>
      <c r="E51" s="33">
        <f>COUNTIFS('Launch Plan'!$A$5:$A$126,A51,'Launch Plan'!$B$5:$B$126,B51,'Launch Plan'!$K$5:$K$126,"In Progress")</f>
        <v>1</v>
      </c>
      <c r="F51" s="33">
        <f>COUNTIFS('Launch Plan'!$A$5:$A$126,A51,'Launch Plan'!$B$5:$B$126,B51,'Launch Plan'!$K$5:$K$126,"Not Started")</f>
        <v>7</v>
      </c>
      <c r="G51" s="43">
        <f t="shared" si="3"/>
        <v>0.46666666666666667</v>
      </c>
      <c r="H51" s="33" t="str">
        <f t="shared" si="4"/>
        <v>MOVING</v>
      </c>
      <c r="I51" s="8"/>
      <c r="J51" s="8"/>
      <c r="K51" s="8"/>
      <c r="L51" s="8"/>
      <c r="M51" s="8"/>
      <c r="N51" s="8"/>
    </row>
    <row r="52" spans="1:14" x14ac:dyDescent="0.35">
      <c r="A52" s="33" t="s">
        <v>15</v>
      </c>
      <c r="B52" s="33" t="s">
        <v>171</v>
      </c>
      <c r="C52" s="33">
        <f>COUNTIFS('Launch Plan'!$A$5:$A$126,A52,'Launch Plan'!$B$5:$B$126,B52,'Launch Plan'!$K$5:$K$126,"Complete")+COUNTIFS('Launch Plan'!$A$5:$A$126,A52,'Launch Plan'!$B$5:$B$126,B52,'Launch Plan'!$K$5:$K$126,"In Progress")+COUNTIFS('Launch Plan'!$A$5:$A$126,A52,'Launch Plan'!$B$5:$B$126,B52,'Launch Plan'!$K$5:$K$126,"Not Started")</f>
        <v>9</v>
      </c>
      <c r="D52" s="33">
        <f>COUNTIFS('Launch Plan'!$A$5:$A$126,A52,'Launch Plan'!$B$5:$B$126,B52,'Launch Plan'!$K$5:$K$126,"Complete")</f>
        <v>0</v>
      </c>
      <c r="E52" s="33">
        <f>COUNTIFS('Launch Plan'!$A$5:$A$126,A52,'Launch Plan'!$B$5:$B$126,B52,'Launch Plan'!$K$5:$K$126,"In Progress")</f>
        <v>0</v>
      </c>
      <c r="F52" s="33">
        <f>COUNTIFS('Launch Plan'!$A$5:$A$126,A52,'Launch Plan'!$B$5:$B$126,B52,'Launch Plan'!$K$5:$K$126,"Not Started")</f>
        <v>9</v>
      </c>
      <c r="G52" s="43">
        <f t="shared" si="3"/>
        <v>0</v>
      </c>
      <c r="H52" s="33" t="str">
        <f t="shared" si="4"/>
        <v>NOT STARTED</v>
      </c>
      <c r="I52" s="8"/>
      <c r="J52" s="8"/>
      <c r="K52" s="8"/>
      <c r="L52" s="8"/>
      <c r="M52" s="8"/>
      <c r="N52" s="8"/>
    </row>
    <row r="53" spans="1:14" x14ac:dyDescent="0.35">
      <c r="A53" s="33" t="s">
        <v>15</v>
      </c>
      <c r="B53" s="33" t="s">
        <v>270</v>
      </c>
      <c r="C53" s="33">
        <f>COUNTIFS('Launch Plan'!$A$5:$A$126,A53,'Launch Plan'!$B$5:$B$126,B53,'Launch Plan'!$K$5:$K$126,"Complete")+COUNTIFS('Launch Plan'!$A$5:$A$126,A53,'Launch Plan'!$B$5:$B$126,B53,'Launch Plan'!$K$5:$K$126,"In Progress")+COUNTIFS('Launch Plan'!$A$5:$A$126,A53,'Launch Plan'!$B$5:$B$126,B53,'Launch Plan'!$K$5:$K$126,"Not Started")</f>
        <v>1</v>
      </c>
      <c r="D53" s="33">
        <f>COUNTIFS('Launch Plan'!$A$5:$A$126,A53,'Launch Plan'!$B$5:$B$126,B53,'Launch Plan'!$K$5:$K$126,"Complete")</f>
        <v>0</v>
      </c>
      <c r="E53" s="33">
        <f>COUNTIFS('Launch Plan'!$A$5:$A$126,A53,'Launch Plan'!$B$5:$B$126,B53,'Launch Plan'!$K$5:$K$126,"In Progress")</f>
        <v>0</v>
      </c>
      <c r="F53" s="33">
        <f>COUNTIFS('Launch Plan'!$A$5:$A$126,A53,'Launch Plan'!$B$5:$B$126,B53,'Launch Plan'!$K$5:$K$126,"Not Started")</f>
        <v>1</v>
      </c>
      <c r="G53" s="43">
        <f t="shared" si="3"/>
        <v>0</v>
      </c>
      <c r="H53" s="33" t="str">
        <f t="shared" si="4"/>
        <v>NOT STARTED</v>
      </c>
      <c r="I53" s="8"/>
      <c r="J53" s="8"/>
      <c r="K53" s="8"/>
      <c r="L53" s="8"/>
      <c r="M53" s="8"/>
      <c r="N53" s="8"/>
    </row>
    <row r="54" spans="1:14" x14ac:dyDescent="0.35">
      <c r="A54" s="33" t="s">
        <v>15</v>
      </c>
      <c r="B54" s="33" t="s">
        <v>217</v>
      </c>
      <c r="C54" s="33">
        <f>COUNTIFS('Launch Plan'!$A$5:$A$126,A54,'Launch Plan'!$B$5:$B$126,B54,'Launch Plan'!$K$5:$K$126,"Complete")+COUNTIFS('Launch Plan'!$A$5:$A$126,A54,'Launch Plan'!$B$5:$B$126,B54,'Launch Plan'!$K$5:$K$126,"In Progress")+COUNTIFS('Launch Plan'!$A$5:$A$126,A54,'Launch Plan'!$B$5:$B$126,B54,'Launch Plan'!$K$5:$K$126,"Not Started")</f>
        <v>1</v>
      </c>
      <c r="D54" s="33">
        <f>COUNTIFS('Launch Plan'!$A$5:$A$126,A54,'Launch Plan'!$B$5:$B$126,B54,'Launch Plan'!$K$5:$K$126,"Complete")</f>
        <v>0</v>
      </c>
      <c r="E54" s="33">
        <f>COUNTIFS('Launch Plan'!$A$5:$A$126,A54,'Launch Plan'!$B$5:$B$126,B54,'Launch Plan'!$K$5:$K$126,"In Progress")</f>
        <v>0</v>
      </c>
      <c r="F54" s="33">
        <f>COUNTIFS('Launch Plan'!$A$5:$A$126,A54,'Launch Plan'!$B$5:$B$126,B54,'Launch Plan'!$K$5:$K$126,"Not Started")</f>
        <v>1</v>
      </c>
      <c r="G54" s="43">
        <f t="shared" si="3"/>
        <v>0</v>
      </c>
      <c r="H54" s="33" t="str">
        <f t="shared" si="4"/>
        <v>NOT STARTED</v>
      </c>
      <c r="I54" s="8"/>
      <c r="J54" s="8"/>
      <c r="K54" s="8"/>
      <c r="L54" s="8"/>
      <c r="M54" s="8"/>
      <c r="N54" s="8"/>
    </row>
    <row r="55" spans="1:14" x14ac:dyDescent="0.35">
      <c r="A55" s="33" t="s">
        <v>46</v>
      </c>
      <c r="B55" s="33" t="s">
        <v>47</v>
      </c>
      <c r="C55" s="33">
        <f>COUNTIFS('Launch Plan'!$A$5:$A$126,A55,'Launch Plan'!$B$5:$B$126,B55,'Launch Plan'!$K$5:$K$126,"Complete")+COUNTIFS('Launch Plan'!$A$5:$A$126,A55,'Launch Plan'!$B$5:$B$126,B55,'Launch Plan'!$K$5:$K$126,"In Progress")+COUNTIFS('Launch Plan'!$A$5:$A$126,A55,'Launch Plan'!$B$5:$B$126,B55,'Launch Plan'!$K$5:$K$126,"Not Started")</f>
        <v>2</v>
      </c>
      <c r="D55" s="33">
        <f>COUNTIFS('Launch Plan'!$A$5:$A$126,A55,'Launch Plan'!$B$5:$B$126,B55,'Launch Plan'!$K$5:$K$126,"Complete")</f>
        <v>2</v>
      </c>
      <c r="E55" s="33">
        <f>COUNTIFS('Launch Plan'!$A$5:$A$126,A55,'Launch Plan'!$B$5:$B$126,B55,'Launch Plan'!$K$5:$K$126,"In Progress")</f>
        <v>0</v>
      </c>
      <c r="F55" s="33">
        <f>COUNTIFS('Launch Plan'!$A$5:$A$126,A55,'Launch Plan'!$B$5:$B$126,B55,'Launch Plan'!$K$5:$K$126,"Not Started")</f>
        <v>0</v>
      </c>
      <c r="G55" s="43">
        <f t="shared" si="3"/>
        <v>1</v>
      </c>
      <c r="H55" s="33" t="str">
        <f t="shared" si="4"/>
        <v>READY</v>
      </c>
      <c r="I55" s="8"/>
      <c r="J55" s="8"/>
      <c r="K55" s="8"/>
      <c r="L55" s="8"/>
      <c r="M55" s="8"/>
      <c r="N55" s="8"/>
    </row>
    <row r="56" spans="1:14" x14ac:dyDescent="0.35">
      <c r="A56" s="33" t="s">
        <v>46</v>
      </c>
      <c r="B56" s="33" t="s">
        <v>50</v>
      </c>
      <c r="C56" s="33">
        <f>COUNTIFS('Launch Plan'!$A$5:$A$126,A56,'Launch Plan'!$B$5:$B$126,B56,'Launch Plan'!$K$5:$K$126,"Complete")+COUNTIFS('Launch Plan'!$A$5:$A$126,A56,'Launch Plan'!$B$5:$B$126,B56,'Launch Plan'!$K$5:$K$126,"In Progress")+COUNTIFS('Launch Plan'!$A$5:$A$126,A56,'Launch Plan'!$B$5:$B$126,B56,'Launch Plan'!$K$5:$K$126,"Not Started")</f>
        <v>3</v>
      </c>
      <c r="D56" s="33">
        <f>COUNTIFS('Launch Plan'!$A$5:$A$126,A56,'Launch Plan'!$B$5:$B$126,B56,'Launch Plan'!$K$5:$K$126,"Complete")</f>
        <v>2</v>
      </c>
      <c r="E56" s="33">
        <f>COUNTIFS('Launch Plan'!$A$5:$A$126,A56,'Launch Plan'!$B$5:$B$126,B56,'Launch Plan'!$K$5:$K$126,"In Progress")</f>
        <v>0</v>
      </c>
      <c r="F56" s="33">
        <f>COUNTIFS('Launch Plan'!$A$5:$A$126,A56,'Launch Plan'!$B$5:$B$126,B56,'Launch Plan'!$K$5:$K$126,"Not Started")</f>
        <v>1</v>
      </c>
      <c r="G56" s="43">
        <f t="shared" si="3"/>
        <v>0.66666666666666663</v>
      </c>
      <c r="H56" s="33" t="str">
        <f t="shared" si="4"/>
        <v>PARTIAL</v>
      </c>
      <c r="I56" s="8"/>
      <c r="J56" s="8"/>
      <c r="K56" s="8"/>
      <c r="L56" s="8"/>
      <c r="M56" s="8"/>
      <c r="N56" s="8"/>
    </row>
    <row r="57" spans="1:14" x14ac:dyDescent="0.35">
      <c r="A57" s="33" t="s">
        <v>86</v>
      </c>
      <c r="B57" s="33" t="s">
        <v>87</v>
      </c>
      <c r="C57" s="33">
        <f>COUNTIFS('Launch Plan'!$A$5:$A$126,A57,'Launch Plan'!$B$5:$B$126,B57,'Launch Plan'!$K$5:$K$126,"Complete")+COUNTIFS('Launch Plan'!$A$5:$A$126,A57,'Launch Plan'!$B$5:$B$126,B57,'Launch Plan'!$K$5:$K$126,"In Progress")+COUNTIFS('Launch Plan'!$A$5:$A$126,A57,'Launch Plan'!$B$5:$B$126,B57,'Launch Plan'!$K$5:$K$126,"Not Started")</f>
        <v>1</v>
      </c>
      <c r="D57" s="33">
        <f>COUNTIFS('Launch Plan'!$A$5:$A$126,A57,'Launch Plan'!$B$5:$B$126,B57,'Launch Plan'!$K$5:$K$126,"Complete")</f>
        <v>0</v>
      </c>
      <c r="E57" s="33">
        <f>COUNTIFS('Launch Plan'!$A$5:$A$126,A57,'Launch Plan'!$B$5:$B$126,B57,'Launch Plan'!$K$5:$K$126,"In Progress")</f>
        <v>0</v>
      </c>
      <c r="F57" s="33">
        <f>COUNTIFS('Launch Plan'!$A$5:$A$126,A57,'Launch Plan'!$B$5:$B$126,B57,'Launch Plan'!$K$5:$K$126,"Not Started")</f>
        <v>1</v>
      </c>
      <c r="G57" s="43">
        <f t="shared" si="3"/>
        <v>0</v>
      </c>
      <c r="H57" s="33" t="str">
        <f t="shared" si="4"/>
        <v>NOT STARTED</v>
      </c>
      <c r="I57" s="8"/>
      <c r="J57" s="8"/>
      <c r="K57" s="8"/>
      <c r="L57" s="8"/>
      <c r="M57" s="8"/>
      <c r="N57" s="8"/>
    </row>
    <row r="58" spans="1:14" x14ac:dyDescent="0.35">
      <c r="A58" s="33" t="s">
        <v>92</v>
      </c>
      <c r="B58" s="33" t="s">
        <v>93</v>
      </c>
      <c r="C58" s="33">
        <f>COUNTIFS('Launch Plan'!$A$5:$A$126,A58,'Launch Plan'!$B$5:$B$126,B58,'Launch Plan'!$K$5:$K$126,"Complete")+COUNTIFS('Launch Plan'!$A$5:$A$126,A58,'Launch Plan'!$B$5:$B$126,B58,'Launch Plan'!$K$5:$K$126,"In Progress")+COUNTIFS('Launch Plan'!$A$5:$A$126,A58,'Launch Plan'!$B$5:$B$126,B58,'Launch Plan'!$K$5:$K$126,"Not Started")</f>
        <v>1</v>
      </c>
      <c r="D58" s="33">
        <f>COUNTIFS('Launch Plan'!$A$5:$A$126,A58,'Launch Plan'!$B$5:$B$126,B58,'Launch Plan'!$K$5:$K$126,"Complete")</f>
        <v>0</v>
      </c>
      <c r="E58" s="33">
        <f>COUNTIFS('Launch Plan'!$A$5:$A$126,A58,'Launch Plan'!$B$5:$B$126,B58,'Launch Plan'!$K$5:$K$126,"In Progress")</f>
        <v>0</v>
      </c>
      <c r="F58" s="33">
        <f>COUNTIFS('Launch Plan'!$A$5:$A$126,A58,'Launch Plan'!$B$5:$B$126,B58,'Launch Plan'!$K$5:$K$126,"Not Started")</f>
        <v>1</v>
      </c>
      <c r="G58" s="43">
        <f t="shared" si="3"/>
        <v>0</v>
      </c>
      <c r="H58" s="33" t="str">
        <f t="shared" si="4"/>
        <v>NOT STARTED</v>
      </c>
      <c r="I58" s="8"/>
      <c r="J58" s="8"/>
      <c r="K58" s="8"/>
      <c r="L58" s="8"/>
      <c r="M58" s="8"/>
      <c r="N58" s="8"/>
    </row>
    <row r="59" spans="1:14" x14ac:dyDescent="0.35">
      <c r="A59" s="33" t="s">
        <v>92</v>
      </c>
      <c r="B59" s="33" t="s">
        <v>107</v>
      </c>
      <c r="C59" s="33">
        <f>COUNTIFS('Launch Plan'!$A$5:$A$126,A59,'Launch Plan'!$B$5:$B$126,B59,'Launch Plan'!$K$5:$K$126,"Complete")+COUNTIFS('Launch Plan'!$A$5:$A$126,A59,'Launch Plan'!$B$5:$B$126,B59,'Launch Plan'!$K$5:$K$126,"In Progress")+COUNTIFS('Launch Plan'!$A$5:$A$126,A59,'Launch Plan'!$B$5:$B$126,B59,'Launch Plan'!$K$5:$K$126,"Not Started")</f>
        <v>5</v>
      </c>
      <c r="D59" s="33">
        <f>COUNTIFS('Launch Plan'!$A$5:$A$126,A59,'Launch Plan'!$B$5:$B$126,B59,'Launch Plan'!$K$5:$K$126,"Complete")</f>
        <v>0</v>
      </c>
      <c r="E59" s="33">
        <f>COUNTIFS('Launch Plan'!$A$5:$A$126,A59,'Launch Plan'!$B$5:$B$126,B59,'Launch Plan'!$K$5:$K$126,"In Progress")</f>
        <v>0</v>
      </c>
      <c r="F59" s="33">
        <f>COUNTIFS('Launch Plan'!$A$5:$A$126,A59,'Launch Plan'!$B$5:$B$126,B59,'Launch Plan'!$K$5:$K$126,"Not Started")</f>
        <v>5</v>
      </c>
      <c r="G59" s="43">
        <f t="shared" si="3"/>
        <v>0</v>
      </c>
      <c r="H59" s="33" t="str">
        <f t="shared" si="4"/>
        <v>NOT STARTED</v>
      </c>
      <c r="I59" s="8"/>
      <c r="J59" s="8"/>
      <c r="K59" s="8"/>
      <c r="L59" s="8"/>
      <c r="M59" s="8"/>
      <c r="N59" s="8"/>
    </row>
    <row r="60" spans="1:14" x14ac:dyDescent="0.35">
      <c r="A60" s="33" t="s">
        <v>92</v>
      </c>
      <c r="B60" s="33" t="s">
        <v>157</v>
      </c>
      <c r="C60" s="33">
        <f>COUNTIFS('Launch Plan'!$A$5:$A$126,A60,'Launch Plan'!$B$5:$B$126,B60,'Launch Plan'!$K$5:$K$126,"Complete")+COUNTIFS('Launch Plan'!$A$5:$A$126,A60,'Launch Plan'!$B$5:$B$126,B60,'Launch Plan'!$K$5:$K$126,"In Progress")+COUNTIFS('Launch Plan'!$A$5:$A$126,A60,'Launch Plan'!$B$5:$B$126,B60,'Launch Plan'!$K$5:$K$126,"Not Started")</f>
        <v>1</v>
      </c>
      <c r="D60" s="33">
        <f>COUNTIFS('Launch Plan'!$A$5:$A$126,A60,'Launch Plan'!$B$5:$B$126,B60,'Launch Plan'!$K$5:$K$126,"Complete")</f>
        <v>0</v>
      </c>
      <c r="E60" s="33">
        <f>COUNTIFS('Launch Plan'!$A$5:$A$126,A60,'Launch Plan'!$B$5:$B$126,B60,'Launch Plan'!$K$5:$K$126,"In Progress")</f>
        <v>1</v>
      </c>
      <c r="F60" s="33">
        <f>COUNTIFS('Launch Plan'!$A$5:$A$126,A60,'Launch Plan'!$B$5:$B$126,B60,'Launch Plan'!$K$5:$K$126,"Not Started")</f>
        <v>0</v>
      </c>
      <c r="G60" s="43">
        <f t="shared" si="3"/>
        <v>0</v>
      </c>
      <c r="H60" s="33" t="str">
        <f t="shared" si="4"/>
        <v>MOVING</v>
      </c>
      <c r="I60" s="8"/>
      <c r="J60" s="8"/>
      <c r="K60" s="8"/>
      <c r="L60" s="8"/>
      <c r="M60" s="8"/>
      <c r="N60" s="8"/>
    </row>
    <row r="61" spans="1:14" x14ac:dyDescent="0.35">
      <c r="A61" s="33" t="s">
        <v>92</v>
      </c>
      <c r="B61" s="33" t="s">
        <v>241</v>
      </c>
      <c r="C61" s="33">
        <f>COUNTIFS('Launch Plan'!$A$5:$A$126,A61,'Launch Plan'!$B$5:$B$126,B61,'Launch Plan'!$K$5:$K$126,"Complete")+COUNTIFS('Launch Plan'!$A$5:$A$126,A61,'Launch Plan'!$B$5:$B$126,B61,'Launch Plan'!$K$5:$K$126,"In Progress")+COUNTIFS('Launch Plan'!$A$5:$A$126,A61,'Launch Plan'!$B$5:$B$126,B61,'Launch Plan'!$K$5:$K$126,"Not Started")</f>
        <v>1</v>
      </c>
      <c r="D61" s="33">
        <f>COUNTIFS('Launch Plan'!$A$5:$A$126,A61,'Launch Plan'!$B$5:$B$126,B61,'Launch Plan'!$K$5:$K$126,"Complete")</f>
        <v>0</v>
      </c>
      <c r="E61" s="33">
        <f>COUNTIFS('Launch Plan'!$A$5:$A$126,A61,'Launch Plan'!$B$5:$B$126,B61,'Launch Plan'!$K$5:$K$126,"In Progress")</f>
        <v>0</v>
      </c>
      <c r="F61" s="33">
        <f>COUNTIFS('Launch Plan'!$A$5:$A$126,A61,'Launch Plan'!$B$5:$B$126,B61,'Launch Plan'!$K$5:$K$126,"Not Started")</f>
        <v>1</v>
      </c>
      <c r="G61" s="43">
        <f t="shared" si="3"/>
        <v>0</v>
      </c>
      <c r="H61" s="33" t="str">
        <f t="shared" si="4"/>
        <v>NOT STARTED</v>
      </c>
      <c r="I61" s="8"/>
      <c r="J61" s="8"/>
      <c r="K61" s="8"/>
      <c r="L61" s="8"/>
      <c r="M61" s="8"/>
      <c r="N61" s="8"/>
    </row>
    <row r="62" spans="1:14" x14ac:dyDescent="0.35">
      <c r="A62" s="33" t="s">
        <v>96</v>
      </c>
      <c r="B62" s="33" t="s">
        <v>97</v>
      </c>
      <c r="C62" s="33">
        <f>COUNTIFS('Launch Plan'!$A$5:$A$126,A62,'Launch Plan'!$B$5:$B$126,B62,'Launch Plan'!$K$5:$K$126,"Complete")+COUNTIFS('Launch Plan'!$A$5:$A$126,A62,'Launch Plan'!$B$5:$B$126,B62,'Launch Plan'!$K$5:$K$126,"In Progress")+COUNTIFS('Launch Plan'!$A$5:$A$126,A62,'Launch Plan'!$B$5:$B$126,B62,'Launch Plan'!$K$5:$K$126,"Not Started")</f>
        <v>3</v>
      </c>
      <c r="D62" s="33">
        <f>COUNTIFS('Launch Plan'!$A$5:$A$126,A62,'Launch Plan'!$B$5:$B$126,B62,'Launch Plan'!$K$5:$K$126,"Complete")</f>
        <v>1</v>
      </c>
      <c r="E62" s="33">
        <f>COUNTIFS('Launch Plan'!$A$5:$A$126,A62,'Launch Plan'!$B$5:$B$126,B62,'Launch Plan'!$K$5:$K$126,"In Progress")</f>
        <v>0</v>
      </c>
      <c r="F62" s="33">
        <f>COUNTIFS('Launch Plan'!$A$5:$A$126,A62,'Launch Plan'!$B$5:$B$126,B62,'Launch Plan'!$K$5:$K$126,"Not Started")</f>
        <v>2</v>
      </c>
      <c r="G62" s="43">
        <f t="shared" si="3"/>
        <v>0.33333333333333331</v>
      </c>
      <c r="H62" s="33" t="str">
        <f t="shared" si="4"/>
        <v>PARTIAL</v>
      </c>
      <c r="I62" s="8"/>
      <c r="J62" s="8"/>
      <c r="K62" s="8"/>
      <c r="L62" s="8"/>
      <c r="M62" s="8"/>
      <c r="N62" s="8"/>
    </row>
    <row r="63" spans="1:14" x14ac:dyDescent="0.35">
      <c r="A63" s="33" t="s">
        <v>96</v>
      </c>
      <c r="B63" s="33" t="s">
        <v>105</v>
      </c>
      <c r="C63" s="33">
        <f>COUNTIFS('Launch Plan'!$A$5:$A$126,A63,'Launch Plan'!$B$5:$B$126,B63,'Launch Plan'!$K$5:$K$126,"Complete")+COUNTIFS('Launch Plan'!$A$5:$A$126,A63,'Launch Plan'!$B$5:$B$126,B63,'Launch Plan'!$K$5:$K$126,"In Progress")+COUNTIFS('Launch Plan'!$A$5:$A$126,A63,'Launch Plan'!$B$5:$B$126,B63,'Launch Plan'!$K$5:$K$126,"Not Started")</f>
        <v>1</v>
      </c>
      <c r="D63" s="33">
        <f>COUNTIFS('Launch Plan'!$A$5:$A$126,A63,'Launch Plan'!$B$5:$B$126,B63,'Launch Plan'!$K$5:$K$126,"Complete")</f>
        <v>0</v>
      </c>
      <c r="E63" s="33">
        <f>COUNTIFS('Launch Plan'!$A$5:$A$126,A63,'Launch Plan'!$B$5:$B$126,B63,'Launch Plan'!$K$5:$K$126,"In Progress")</f>
        <v>0</v>
      </c>
      <c r="F63" s="33">
        <f>COUNTIFS('Launch Plan'!$A$5:$A$126,A63,'Launch Plan'!$B$5:$B$126,B63,'Launch Plan'!$K$5:$K$126,"Not Started")</f>
        <v>1</v>
      </c>
      <c r="G63" s="43">
        <f t="shared" si="3"/>
        <v>0</v>
      </c>
      <c r="H63" s="33" t="str">
        <f t="shared" si="4"/>
        <v>NOT STARTED</v>
      </c>
      <c r="I63" s="8"/>
      <c r="J63" s="8"/>
      <c r="K63" s="8"/>
      <c r="L63" s="8"/>
      <c r="M63" s="8"/>
      <c r="N63" s="8"/>
    </row>
    <row r="64" spans="1:14" x14ac:dyDescent="0.35">
      <c r="A64" s="33" t="s">
        <v>96</v>
      </c>
      <c r="B64" s="33" t="s">
        <v>203</v>
      </c>
      <c r="C64" s="33">
        <f>COUNTIFS('Launch Plan'!$A$5:$A$126,A64,'Launch Plan'!$B$5:$B$126,B64,'Launch Plan'!$K$5:$K$126,"Complete")+COUNTIFS('Launch Plan'!$A$5:$A$126,A64,'Launch Plan'!$B$5:$B$126,B64,'Launch Plan'!$K$5:$K$126,"In Progress")+COUNTIFS('Launch Plan'!$A$5:$A$126,A64,'Launch Plan'!$B$5:$B$126,B64,'Launch Plan'!$K$5:$K$126,"Not Started")</f>
        <v>3</v>
      </c>
      <c r="D64" s="33">
        <f>COUNTIFS('Launch Plan'!$A$5:$A$126,A64,'Launch Plan'!$B$5:$B$126,B64,'Launch Plan'!$K$5:$K$126,"Complete")</f>
        <v>0</v>
      </c>
      <c r="E64" s="33">
        <f>COUNTIFS('Launch Plan'!$A$5:$A$126,A64,'Launch Plan'!$B$5:$B$126,B64,'Launch Plan'!$K$5:$K$126,"In Progress")</f>
        <v>0</v>
      </c>
      <c r="F64" s="33">
        <f>COUNTIFS('Launch Plan'!$A$5:$A$126,A64,'Launch Plan'!$B$5:$B$126,B64,'Launch Plan'!$K$5:$K$126,"Not Started")</f>
        <v>3</v>
      </c>
      <c r="G64" s="43">
        <f t="shared" si="3"/>
        <v>0</v>
      </c>
      <c r="H64" s="33" t="str">
        <f t="shared" si="4"/>
        <v>NOT STARTED</v>
      </c>
      <c r="I64" s="8"/>
      <c r="J64" s="8"/>
      <c r="K64" s="8"/>
      <c r="L64" s="8"/>
      <c r="M64" s="8"/>
      <c r="N64" s="8"/>
    </row>
    <row r="65" spans="1:14" x14ac:dyDescent="0.35">
      <c r="A65" s="33" t="s">
        <v>96</v>
      </c>
      <c r="B65" s="33" t="s">
        <v>210</v>
      </c>
      <c r="C65" s="33">
        <f>COUNTIFS('Launch Plan'!$A$5:$A$126,A65,'Launch Plan'!$B$5:$B$126,B65,'Launch Plan'!$K$5:$K$126,"Complete")+COUNTIFS('Launch Plan'!$A$5:$A$126,A65,'Launch Plan'!$B$5:$B$126,B65,'Launch Plan'!$K$5:$K$126,"In Progress")+COUNTIFS('Launch Plan'!$A$5:$A$126,A65,'Launch Plan'!$B$5:$B$126,B65,'Launch Plan'!$K$5:$K$126,"Not Started")</f>
        <v>1</v>
      </c>
      <c r="D65" s="33">
        <f>COUNTIFS('Launch Plan'!$A$5:$A$126,A65,'Launch Plan'!$B$5:$B$126,B65,'Launch Plan'!$K$5:$K$126,"Complete")</f>
        <v>0</v>
      </c>
      <c r="E65" s="33">
        <f>COUNTIFS('Launch Plan'!$A$5:$A$126,A65,'Launch Plan'!$B$5:$B$126,B65,'Launch Plan'!$K$5:$K$126,"In Progress")</f>
        <v>0</v>
      </c>
      <c r="F65" s="33">
        <f>COUNTIFS('Launch Plan'!$A$5:$A$126,A65,'Launch Plan'!$B$5:$B$126,B65,'Launch Plan'!$K$5:$K$126,"Not Started")</f>
        <v>1</v>
      </c>
      <c r="G65" s="43">
        <f t="shared" si="3"/>
        <v>0</v>
      </c>
      <c r="H65" s="33" t="str">
        <f t="shared" si="4"/>
        <v>NOT STARTED</v>
      </c>
      <c r="I65" s="8"/>
      <c r="J65" s="8"/>
      <c r="K65" s="8"/>
      <c r="L65" s="8"/>
      <c r="M65" s="8"/>
      <c r="N65" s="8"/>
    </row>
    <row r="66" spans="1:14" x14ac:dyDescent="0.35">
      <c r="A66" s="33" t="s">
        <v>96</v>
      </c>
      <c r="B66" s="33" t="s">
        <v>213</v>
      </c>
      <c r="C66" s="33">
        <f>COUNTIFS('Launch Plan'!$A$5:$A$126,A66,'Launch Plan'!$B$5:$B$126,B66,'Launch Plan'!$K$5:$K$126,"Complete")+COUNTIFS('Launch Plan'!$A$5:$A$126,A66,'Launch Plan'!$B$5:$B$126,B66,'Launch Plan'!$K$5:$K$126,"In Progress")+COUNTIFS('Launch Plan'!$A$5:$A$126,A66,'Launch Plan'!$B$5:$B$126,B66,'Launch Plan'!$K$5:$K$126,"Not Started")</f>
        <v>1</v>
      </c>
      <c r="D66" s="33">
        <f>COUNTIFS('Launch Plan'!$A$5:$A$126,A66,'Launch Plan'!$B$5:$B$126,B66,'Launch Plan'!$K$5:$K$126,"Complete")</f>
        <v>0</v>
      </c>
      <c r="E66" s="33">
        <f>COUNTIFS('Launch Plan'!$A$5:$A$126,A66,'Launch Plan'!$B$5:$B$126,B66,'Launch Plan'!$K$5:$K$126,"In Progress")</f>
        <v>0</v>
      </c>
      <c r="F66" s="33">
        <f>COUNTIFS('Launch Plan'!$A$5:$A$126,A66,'Launch Plan'!$B$5:$B$126,B66,'Launch Plan'!$K$5:$K$126,"Not Started")</f>
        <v>1</v>
      </c>
      <c r="G66" s="43">
        <f t="shared" si="3"/>
        <v>0</v>
      </c>
      <c r="H66" s="33" t="str">
        <f t="shared" si="4"/>
        <v>NOT STARTED</v>
      </c>
      <c r="I66" s="8"/>
      <c r="J66" s="8"/>
      <c r="K66" s="8"/>
      <c r="L66" s="8"/>
      <c r="M66" s="8"/>
      <c r="N66" s="8"/>
    </row>
    <row r="67" spans="1:14" x14ac:dyDescent="0.35">
      <c r="A67" s="33" t="s">
        <v>109</v>
      </c>
      <c r="B67" s="33" t="s">
        <v>110</v>
      </c>
      <c r="C67" s="33">
        <f>COUNTIFS('Launch Plan'!$A$5:$A$126,A67,'Launch Plan'!$B$5:$B$126,B67,'Launch Plan'!$K$5:$K$126,"Complete")+COUNTIFS('Launch Plan'!$A$5:$A$126,A67,'Launch Plan'!$B$5:$B$126,B67,'Launch Plan'!$K$5:$K$126,"In Progress")+COUNTIFS('Launch Plan'!$A$5:$A$126,A67,'Launch Plan'!$B$5:$B$126,B67,'Launch Plan'!$K$5:$K$126,"Not Started")</f>
        <v>14</v>
      </c>
      <c r="D67" s="33">
        <f>COUNTIFS('Launch Plan'!$A$5:$A$126,A67,'Launch Plan'!$B$5:$B$126,B67,'Launch Plan'!$K$5:$K$126,"Complete")</f>
        <v>2</v>
      </c>
      <c r="E67" s="33">
        <f>COUNTIFS('Launch Plan'!$A$5:$A$126,A67,'Launch Plan'!$B$5:$B$126,B67,'Launch Plan'!$K$5:$K$126,"In Progress")</f>
        <v>0</v>
      </c>
      <c r="F67" s="33">
        <f>COUNTIFS('Launch Plan'!$A$5:$A$126,A67,'Launch Plan'!$B$5:$B$126,B67,'Launch Plan'!$K$5:$K$126,"Not Started")</f>
        <v>12</v>
      </c>
      <c r="G67" s="43">
        <f t="shared" si="3"/>
        <v>0.14285714285714285</v>
      </c>
      <c r="H67" s="33" t="str">
        <f t="shared" si="4"/>
        <v>PARTIAL</v>
      </c>
      <c r="I67" s="8"/>
      <c r="J67" s="8"/>
      <c r="K67" s="8"/>
      <c r="L67" s="8"/>
      <c r="M67" s="8"/>
      <c r="N67" s="8"/>
    </row>
    <row r="68" spans="1:14" x14ac:dyDescent="0.35">
      <c r="A68" s="33" t="s">
        <v>142</v>
      </c>
      <c r="B68" s="33" t="s">
        <v>143</v>
      </c>
      <c r="C68" s="33">
        <f>COUNTIFS('Launch Plan'!$A$5:$A$126,A68,'Launch Plan'!$B$5:$B$126,B68,'Launch Plan'!$K$5:$K$126,"Complete")+COUNTIFS('Launch Plan'!$A$5:$A$126,A68,'Launch Plan'!$B$5:$B$126,B68,'Launch Plan'!$K$5:$K$126,"In Progress")+COUNTIFS('Launch Plan'!$A$5:$A$126,A68,'Launch Plan'!$B$5:$B$126,B68,'Launch Plan'!$K$5:$K$126,"Not Started")</f>
        <v>11</v>
      </c>
      <c r="D68" s="33">
        <f>COUNTIFS('Launch Plan'!$A$5:$A$126,A68,'Launch Plan'!$B$5:$B$126,B68,'Launch Plan'!$K$5:$K$126,"Complete")</f>
        <v>0</v>
      </c>
      <c r="E68" s="33">
        <f>COUNTIFS('Launch Plan'!$A$5:$A$126,A68,'Launch Plan'!$B$5:$B$126,B68,'Launch Plan'!$K$5:$K$126,"In Progress")</f>
        <v>0</v>
      </c>
      <c r="F68" s="33">
        <f>COUNTIFS('Launch Plan'!$A$5:$A$126,A68,'Launch Plan'!$B$5:$B$126,B68,'Launch Plan'!$K$5:$K$126,"Not Started")</f>
        <v>11</v>
      </c>
      <c r="G68" s="43">
        <f t="shared" si="3"/>
        <v>0</v>
      </c>
      <c r="H68" s="33" t="str">
        <f t="shared" si="4"/>
        <v>NOT STARTED</v>
      </c>
      <c r="I68" s="8"/>
      <c r="J68" s="8"/>
      <c r="K68" s="8"/>
      <c r="L68" s="8"/>
      <c r="M68" s="8"/>
      <c r="N68" s="8"/>
    </row>
    <row r="69" spans="1:14" x14ac:dyDescent="0.35">
      <c r="A69" s="33" t="s">
        <v>142</v>
      </c>
      <c r="B69" s="33" t="s">
        <v>167</v>
      </c>
      <c r="C69" s="33">
        <f>COUNTIFS('Launch Plan'!$A$5:$A$126,A69,'Launch Plan'!$B$5:$B$126,B69,'Launch Plan'!$K$5:$K$126,"Complete")+COUNTIFS('Launch Plan'!$A$5:$A$126,A69,'Launch Plan'!$B$5:$B$126,B69,'Launch Plan'!$K$5:$K$126,"In Progress")+COUNTIFS('Launch Plan'!$A$5:$A$126,A69,'Launch Plan'!$B$5:$B$126,B69,'Launch Plan'!$K$5:$K$126,"Not Started")</f>
        <v>1</v>
      </c>
      <c r="D69" s="33">
        <f>COUNTIFS('Launch Plan'!$A$5:$A$126,A69,'Launch Plan'!$B$5:$B$126,B69,'Launch Plan'!$K$5:$K$126,"Complete")</f>
        <v>0</v>
      </c>
      <c r="E69" s="33">
        <f>COUNTIFS('Launch Plan'!$A$5:$A$126,A69,'Launch Plan'!$B$5:$B$126,B69,'Launch Plan'!$K$5:$K$126,"In Progress")</f>
        <v>0</v>
      </c>
      <c r="F69" s="33">
        <f>COUNTIFS('Launch Plan'!$A$5:$A$126,A69,'Launch Plan'!$B$5:$B$126,B69,'Launch Plan'!$K$5:$K$126,"Not Started")</f>
        <v>1</v>
      </c>
      <c r="G69" s="43">
        <f t="shared" si="3"/>
        <v>0</v>
      </c>
      <c r="H69" s="33" t="str">
        <f t="shared" si="4"/>
        <v>NOT STARTED</v>
      </c>
      <c r="I69" s="8"/>
      <c r="J69" s="8"/>
      <c r="K69" s="8"/>
      <c r="L69" s="8"/>
      <c r="M69" s="8"/>
      <c r="N69" s="8"/>
    </row>
    <row r="70" spans="1:14" x14ac:dyDescent="0.35">
      <c r="A70" s="33" t="s">
        <v>185</v>
      </c>
      <c r="B70" s="33" t="s">
        <v>186</v>
      </c>
      <c r="C70" s="33">
        <f>COUNTIFS('Launch Plan'!$A$5:$A$126,A70,'Launch Plan'!$B$5:$B$126,B70,'Launch Plan'!$K$5:$K$126,"Complete")+COUNTIFS('Launch Plan'!$A$5:$A$126,A70,'Launch Plan'!$B$5:$B$126,B70,'Launch Plan'!$K$5:$K$126,"In Progress")+COUNTIFS('Launch Plan'!$A$5:$A$126,A70,'Launch Plan'!$B$5:$B$126,B70,'Launch Plan'!$K$5:$K$126,"Not Started")</f>
        <v>10</v>
      </c>
      <c r="D70" s="33">
        <f>COUNTIFS('Launch Plan'!$A$5:$A$126,A70,'Launch Plan'!$B$5:$B$126,B70,'Launch Plan'!$K$5:$K$126,"Complete")</f>
        <v>0</v>
      </c>
      <c r="E70" s="33">
        <f>COUNTIFS('Launch Plan'!$A$5:$A$126,A70,'Launch Plan'!$B$5:$B$126,B70,'Launch Plan'!$K$5:$K$126,"In Progress")</f>
        <v>0</v>
      </c>
      <c r="F70" s="33">
        <f>COUNTIFS('Launch Plan'!$A$5:$A$126,A70,'Launch Plan'!$B$5:$B$126,B70,'Launch Plan'!$K$5:$K$126,"Not Started")</f>
        <v>10</v>
      </c>
      <c r="G70" s="43">
        <f t="shared" si="3"/>
        <v>0</v>
      </c>
      <c r="H70" s="33" t="str">
        <f t="shared" si="4"/>
        <v>NOT STARTED</v>
      </c>
      <c r="I70" s="8"/>
      <c r="J70" s="8"/>
      <c r="K70" s="8"/>
      <c r="L70" s="8"/>
      <c r="M70" s="8"/>
      <c r="N70" s="8"/>
    </row>
    <row r="71" spans="1:14" x14ac:dyDescent="0.35">
      <c r="A71" s="33" t="s">
        <v>216</v>
      </c>
      <c r="B71" s="33" t="s">
        <v>217</v>
      </c>
      <c r="C71" s="33">
        <f>COUNTIFS('Launch Plan'!$A$5:$A$126,A71,'Launch Plan'!$B$5:$B$126,B71,'Launch Plan'!$K$5:$K$126,"Complete")+COUNTIFS('Launch Plan'!$A$5:$A$126,A71,'Launch Plan'!$B$5:$B$126,B71,'Launch Plan'!$K$5:$K$126,"In Progress")+COUNTIFS('Launch Plan'!$A$5:$A$126,A71,'Launch Plan'!$B$5:$B$126,B71,'Launch Plan'!$K$5:$K$126,"Not Started")</f>
        <v>3</v>
      </c>
      <c r="D71" s="33">
        <f>COUNTIFS('Launch Plan'!$A$5:$A$126,A71,'Launch Plan'!$B$5:$B$126,B71,'Launch Plan'!$K$5:$K$126,"Complete")</f>
        <v>0</v>
      </c>
      <c r="E71" s="33">
        <f>COUNTIFS('Launch Plan'!$A$5:$A$126,A71,'Launch Plan'!$B$5:$B$126,B71,'Launch Plan'!$K$5:$K$126,"In Progress")</f>
        <v>0</v>
      </c>
      <c r="F71" s="33">
        <f>COUNTIFS('Launch Plan'!$A$5:$A$126,A71,'Launch Plan'!$B$5:$B$126,B71,'Launch Plan'!$K$5:$K$126,"Not Started")</f>
        <v>3</v>
      </c>
      <c r="G71" s="43">
        <f t="shared" si="3"/>
        <v>0</v>
      </c>
      <c r="H71" s="33" t="str">
        <f t="shared" si="4"/>
        <v>NOT STARTED</v>
      </c>
      <c r="I71" s="8"/>
      <c r="J71" s="8"/>
      <c r="K71" s="8"/>
      <c r="L71" s="8"/>
      <c r="M71" s="8"/>
      <c r="N71" s="8"/>
    </row>
    <row r="72" spans="1:14" x14ac:dyDescent="0.35">
      <c r="A72" s="33" t="s">
        <v>216</v>
      </c>
      <c r="B72" s="33" t="s">
        <v>56</v>
      </c>
      <c r="C72" s="33">
        <f>COUNTIFS('Launch Plan'!$A$5:$A$126,A72,'Launch Plan'!$B$5:$B$126,B72,'Launch Plan'!$K$5:$K$126,"Complete")+COUNTIFS('Launch Plan'!$A$5:$A$126,A72,'Launch Plan'!$B$5:$B$126,B72,'Launch Plan'!$K$5:$K$126,"In Progress")+COUNTIFS('Launch Plan'!$A$5:$A$126,A72,'Launch Plan'!$B$5:$B$126,B72,'Launch Plan'!$K$5:$K$126,"Not Started")</f>
        <v>3</v>
      </c>
      <c r="D72" s="33">
        <f>COUNTIFS('Launch Plan'!$A$5:$A$126,A72,'Launch Plan'!$B$5:$B$126,B72,'Launch Plan'!$K$5:$K$126,"Complete")</f>
        <v>0</v>
      </c>
      <c r="E72" s="33">
        <f>COUNTIFS('Launch Plan'!$A$5:$A$126,A72,'Launch Plan'!$B$5:$B$126,B72,'Launch Plan'!$K$5:$K$126,"In Progress")</f>
        <v>0</v>
      </c>
      <c r="F72" s="33">
        <f>COUNTIFS('Launch Plan'!$A$5:$A$126,A72,'Launch Plan'!$B$5:$B$126,B72,'Launch Plan'!$K$5:$K$126,"Not Started")</f>
        <v>3</v>
      </c>
      <c r="G72" s="43">
        <f t="shared" si="3"/>
        <v>0</v>
      </c>
      <c r="H72" s="33" t="str">
        <f t="shared" si="4"/>
        <v>NOT STARTED</v>
      </c>
      <c r="I72" s="8"/>
      <c r="J72" s="8"/>
      <c r="K72" s="8"/>
      <c r="L72" s="8"/>
      <c r="M72" s="8"/>
      <c r="N72" s="8"/>
    </row>
    <row r="73" spans="1:14" x14ac:dyDescent="0.35">
      <c r="A73" s="33" t="s">
        <v>216</v>
      </c>
      <c r="B73" s="33" t="s">
        <v>230</v>
      </c>
      <c r="C73" s="33">
        <f>COUNTIFS('Launch Plan'!$A$5:$A$126,A73,'Launch Plan'!$B$5:$B$126,B73,'Launch Plan'!$K$5:$K$126,"Complete")+COUNTIFS('Launch Plan'!$A$5:$A$126,A73,'Launch Plan'!$B$5:$B$126,B73,'Launch Plan'!$K$5:$K$126,"In Progress")+COUNTIFS('Launch Plan'!$A$5:$A$126,A73,'Launch Plan'!$B$5:$B$126,B73,'Launch Plan'!$K$5:$K$126,"Not Started")</f>
        <v>8</v>
      </c>
      <c r="D73" s="33">
        <f>COUNTIFS('Launch Plan'!$A$5:$A$126,A73,'Launch Plan'!$B$5:$B$126,B73,'Launch Plan'!$K$5:$K$126,"Complete")</f>
        <v>0</v>
      </c>
      <c r="E73" s="33">
        <f>COUNTIFS('Launch Plan'!$A$5:$A$126,A73,'Launch Plan'!$B$5:$B$126,B73,'Launch Plan'!$K$5:$K$126,"In Progress")</f>
        <v>0</v>
      </c>
      <c r="F73" s="33">
        <f>COUNTIFS('Launch Plan'!$A$5:$A$126,A73,'Launch Plan'!$B$5:$B$126,B73,'Launch Plan'!$K$5:$K$126,"Not Started")</f>
        <v>8</v>
      </c>
      <c r="G73" s="43">
        <f t="shared" si="3"/>
        <v>0</v>
      </c>
      <c r="H73" s="33" t="str">
        <f t="shared" si="4"/>
        <v>NOT STARTED</v>
      </c>
      <c r="I73" s="8"/>
      <c r="J73" s="8"/>
      <c r="K73" s="8"/>
      <c r="L73" s="8"/>
      <c r="M73" s="8"/>
      <c r="N73" s="8"/>
    </row>
    <row r="74" spans="1:14" x14ac:dyDescent="0.35">
      <c r="A74" s="33" t="s">
        <v>216</v>
      </c>
      <c r="B74" s="33" t="s">
        <v>171</v>
      </c>
      <c r="C74" s="33">
        <f>COUNTIFS('Launch Plan'!$A$5:$A$126,A74,'Launch Plan'!$B$5:$B$126,B74,'Launch Plan'!$K$5:$K$126,"Complete")+COUNTIFS('Launch Plan'!$A$5:$A$126,A74,'Launch Plan'!$B$5:$B$126,B74,'Launch Plan'!$K$5:$K$126,"In Progress")+COUNTIFS('Launch Plan'!$A$5:$A$126,A74,'Launch Plan'!$B$5:$B$126,B74,'Launch Plan'!$K$5:$K$126,"Not Started")</f>
        <v>5</v>
      </c>
      <c r="D74" s="33">
        <f>COUNTIFS('Launch Plan'!$A$5:$A$126,A74,'Launch Plan'!$B$5:$B$126,B74,'Launch Plan'!$K$5:$K$126,"Complete")</f>
        <v>0</v>
      </c>
      <c r="E74" s="33">
        <f>COUNTIFS('Launch Plan'!$A$5:$A$126,A74,'Launch Plan'!$B$5:$B$126,B74,'Launch Plan'!$K$5:$K$126,"In Progress")</f>
        <v>0</v>
      </c>
      <c r="F74" s="33">
        <f>COUNTIFS('Launch Plan'!$A$5:$A$126,A74,'Launch Plan'!$B$5:$B$126,B74,'Launch Plan'!$K$5:$K$126,"Not Started")</f>
        <v>5</v>
      </c>
      <c r="G74" s="43">
        <f t="shared" si="3"/>
        <v>0</v>
      </c>
      <c r="H74" s="33" t="str">
        <f t="shared" si="4"/>
        <v>NOT STARTED</v>
      </c>
      <c r="I74" s="8"/>
      <c r="J74" s="8"/>
      <c r="K74" s="8"/>
      <c r="L74" s="8"/>
      <c r="M74" s="8"/>
      <c r="N74" s="8"/>
    </row>
    <row r="75" spans="1:14" x14ac:dyDescent="0.35">
      <c r="A75" s="34" t="s">
        <v>255</v>
      </c>
      <c r="B75" s="34" t="s">
        <v>256</v>
      </c>
      <c r="C75" s="34">
        <f>COUNTIFS('Launch Plan'!$A$5:$A$126,A75,'Launch Plan'!$B$5:$B$126,B75,'Launch Plan'!$K$5:$K$126,"Complete")+COUNTIFS('Launch Plan'!$A$5:$A$126,A75,'Launch Plan'!$B$5:$B$126,B75,'Launch Plan'!$K$5:$K$126,"In Progress")+COUNTIFS('Launch Plan'!$A$5:$A$126,A75,'Launch Plan'!$B$5:$B$126,B75,'Launch Plan'!$K$5:$K$126,"Not Started")</f>
        <v>1</v>
      </c>
      <c r="D75" s="34">
        <f>COUNTIFS('Launch Plan'!$A$5:$A$126,A75,'Launch Plan'!$B$5:$B$126,B75,'Launch Plan'!$K$5:$K$126,"Complete")</f>
        <v>0</v>
      </c>
      <c r="E75" s="34">
        <f>COUNTIFS('Launch Plan'!$A$5:$A$126,A75,'Launch Plan'!$B$5:$B$126,B75,'Launch Plan'!$K$5:$K$126,"In Progress")</f>
        <v>0</v>
      </c>
      <c r="F75" s="34">
        <f>COUNTIFS('Launch Plan'!$A$5:$A$126,A75,'Launch Plan'!$B$5:$B$126,B75,'Launch Plan'!$K$5:$K$126,"Not Started")</f>
        <v>1</v>
      </c>
      <c r="G75" s="44">
        <f t="shared" si="3"/>
        <v>0</v>
      </c>
      <c r="H75" s="34" t="str">
        <f t="shared" si="4"/>
        <v>NOT STARTED</v>
      </c>
      <c r="I75" s="8"/>
      <c r="J75" s="8"/>
      <c r="K75" s="8"/>
      <c r="L75" s="8"/>
      <c r="M75" s="8"/>
      <c r="N75" s="8"/>
    </row>
    <row r="76" spans="1:14" x14ac:dyDescent="0.35">
      <c r="A76" s="8"/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</row>
    <row r="77" spans="1:14" x14ac:dyDescent="0.35">
      <c r="A77" s="8"/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</row>
    <row r="78" spans="1:14" x14ac:dyDescent="0.35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</row>
    <row r="79" spans="1:14" x14ac:dyDescent="0.35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</row>
    <row r="80" spans="1:14" x14ac:dyDescent="0.35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</row>
    <row r="81" spans="1:14" x14ac:dyDescent="0.35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</row>
    <row r="82" spans="1:14" x14ac:dyDescent="0.35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</row>
    <row r="83" spans="1:14" x14ac:dyDescent="0.35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</row>
    <row r="84" spans="1:14" x14ac:dyDescent="0.35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</row>
    <row r="85" spans="1:14" x14ac:dyDescent="0.35">
      <c r="A85" s="8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</row>
    <row r="86" spans="1:14" x14ac:dyDescent="0.35">
      <c r="A86" s="8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</row>
    <row r="87" spans="1:14" x14ac:dyDescent="0.35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</row>
    <row r="88" spans="1:14" x14ac:dyDescent="0.35">
      <c r="A88" s="8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</row>
    <row r="89" spans="1:14" x14ac:dyDescent="0.35">
      <c r="A89" s="8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</row>
    <row r="90" spans="1:14" x14ac:dyDescent="0.35">
      <c r="A90" s="8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</row>
  </sheetData>
  <mergeCells count="33">
    <mergeCell ref="A47:N47"/>
    <mergeCell ref="B42:K42"/>
    <mergeCell ref="A1:N2"/>
    <mergeCell ref="J5:L5"/>
    <mergeCell ref="D6:F8"/>
    <mergeCell ref="B44:K44"/>
    <mergeCell ref="B29:K29"/>
    <mergeCell ref="B38:K38"/>
    <mergeCell ref="B34:K34"/>
    <mergeCell ref="B37:K37"/>
    <mergeCell ref="A3:N3"/>
    <mergeCell ref="D5:F5"/>
    <mergeCell ref="A26:N26"/>
    <mergeCell ref="B43:K43"/>
    <mergeCell ref="B39:K39"/>
    <mergeCell ref="B41:K41"/>
    <mergeCell ref="G6:I8"/>
    <mergeCell ref="B32:K32"/>
    <mergeCell ref="A5:C5"/>
    <mergeCell ref="G5:I5"/>
    <mergeCell ref="B35:K35"/>
    <mergeCell ref="H10:N10"/>
    <mergeCell ref="M6:N8"/>
    <mergeCell ref="B31:K31"/>
    <mergeCell ref="A27:N27"/>
    <mergeCell ref="A10:F10"/>
    <mergeCell ref="A6:C8"/>
    <mergeCell ref="J6:L8"/>
    <mergeCell ref="B40:K40"/>
    <mergeCell ref="B30:K30"/>
    <mergeCell ref="M5:N5"/>
    <mergeCell ref="B33:K33"/>
    <mergeCell ref="B36:K36"/>
  </mergeCells>
  <conditionalFormatting sqref="G50:G75">
    <cfRule type="dataBar" priority="12">
      <dataBar>
        <cfvo type="min"/>
        <cfvo type="max"/>
        <color rgb="FF4CC7B0"/>
      </dataBar>
    </cfRule>
    <cfRule type="dataBar" priority="18">
      <dataBar>
        <cfvo type="min"/>
        <cfvo type="max"/>
        <color rgb="FF4CC7B0"/>
      </dataBar>
    </cfRule>
  </conditionalFormatting>
  <conditionalFormatting sqref="H50:H75">
    <cfRule type="containsText" dxfId="37" priority="13" operator="containsText" text="READY"/>
    <cfRule type="containsText" dxfId="36" priority="14" operator="containsText" text="MOVING"/>
    <cfRule type="containsText" dxfId="35" priority="15" operator="containsText" text="PARTIAL"/>
    <cfRule type="containsText" dxfId="34" priority="16" operator="containsText" text="NOT STARTED"/>
  </conditionalFormatting>
  <conditionalFormatting sqref="L30:L44">
    <cfRule type="containsText" dxfId="33" priority="6" operator="containsText" text="Complete"/>
    <cfRule type="containsText" dxfId="32" priority="7" operator="containsText" text="In Progress"/>
    <cfRule type="containsText" dxfId="31" priority="8" operator="containsText" text="Not Started"/>
  </conditionalFormatting>
  <conditionalFormatting sqref="M13:M22">
    <cfRule type="dataBar" priority="1">
      <dataBar>
        <cfvo type="min"/>
        <cfvo type="max"/>
        <color rgb="FF1F6FB0"/>
      </dataBar>
    </cfRule>
    <cfRule type="dataBar" priority="17">
      <dataBar>
        <cfvo type="min"/>
        <cfvo type="max"/>
        <color rgb="FF1F6FB0"/>
      </dataBar>
    </cfRule>
  </conditionalFormatting>
  <conditionalFormatting sqref="N13:N22">
    <cfRule type="containsText" dxfId="30" priority="2" operator="containsText" text="READY"/>
    <cfRule type="containsText" dxfId="29" priority="3" operator="containsText" text="MOVING"/>
    <cfRule type="containsText" dxfId="28" priority="4" operator="containsText" text="PARTIAL"/>
    <cfRule type="containsText" dxfId="27" priority="5" operator="containsText" text="NOT STARTED"/>
  </conditionalFormatting>
  <conditionalFormatting sqref="N30:N44">
    <cfRule type="expression" dxfId="26" priority="9">
      <formula>$N30="GO"</formula>
    </cfRule>
    <cfRule type="expression" dxfId="25" priority="10">
      <formula>$N30="WATCH"</formula>
    </cfRule>
    <cfRule type="expression" dxfId="24" priority="11">
      <formula>$N30="NO-GO"</formula>
    </cfRule>
  </conditionalFormatting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133"/>
  <sheetViews>
    <sheetView tabSelected="1" workbookViewId="0">
      <pane xSplit="7" ySplit="4" topLeftCell="H36" activePane="bottomRight" state="frozen"/>
      <selection pane="topRight" activeCell="G1" sqref="G1"/>
      <selection pane="bottomLeft" activeCell="A5" sqref="A5"/>
      <selection pane="bottomRight" activeCell="A42" sqref="A42:XFD42"/>
    </sheetView>
  </sheetViews>
  <sheetFormatPr defaultColWidth="8.6328125" defaultRowHeight="14.5" x14ac:dyDescent="0.35"/>
  <cols>
    <col min="1" max="1" width="16" customWidth="1"/>
    <col min="2" max="2" width="15.26953125" customWidth="1"/>
    <col min="3" max="3" width="12.7265625" customWidth="1"/>
    <col min="4" max="4" width="42" style="57" customWidth="1"/>
    <col min="5" max="5" width="10" hidden="1" customWidth="1"/>
    <col min="6" max="6" width="16" hidden="1" customWidth="1"/>
    <col min="7" max="7" width="10" hidden="1" customWidth="1"/>
    <col min="8" max="8" width="14.7265625" style="2" customWidth="1"/>
    <col min="9" max="9" width="11.6328125" style="5" customWidth="1"/>
    <col min="10" max="10" width="14.7265625" style="2" customWidth="1"/>
    <col min="11" max="11" width="14" customWidth="1"/>
    <col min="12" max="12" width="12.1796875" customWidth="1"/>
    <col min="13" max="13" width="106" customWidth="1"/>
  </cols>
  <sheetData>
    <row r="1" spans="1:14" ht="20" customHeight="1" x14ac:dyDescent="0.35">
      <c r="A1" s="68" t="s">
        <v>0</v>
      </c>
      <c r="B1" s="69"/>
      <c r="C1" s="69"/>
      <c r="D1" s="70"/>
      <c r="E1" s="69"/>
      <c r="F1" s="69"/>
      <c r="G1" s="69"/>
      <c r="H1" s="71"/>
      <c r="I1" s="72"/>
      <c r="J1" s="71"/>
      <c r="K1" s="69"/>
      <c r="L1" s="69"/>
      <c r="M1" s="69"/>
      <c r="N1" s="69"/>
    </row>
    <row r="2" spans="1:14" x14ac:dyDescent="0.35">
      <c r="A2" s="7" t="s">
        <v>1</v>
      </c>
    </row>
    <row r="4" spans="1:14" x14ac:dyDescent="0.35">
      <c r="A4" s="1" t="s">
        <v>2</v>
      </c>
      <c r="B4" s="1" t="s">
        <v>3</v>
      </c>
      <c r="C4" s="63" t="s">
        <v>4</v>
      </c>
      <c r="D4" s="58" t="s">
        <v>5</v>
      </c>
      <c r="E4" s="1" t="s">
        <v>6</v>
      </c>
      <c r="F4" s="1" t="s">
        <v>7</v>
      </c>
      <c r="G4" s="1" t="s">
        <v>8</v>
      </c>
      <c r="H4" s="3" t="s">
        <v>9</v>
      </c>
      <c r="I4" s="6" t="s">
        <v>10</v>
      </c>
      <c r="J4" s="4" t="s">
        <v>11</v>
      </c>
      <c r="K4" s="1" t="s">
        <v>12</v>
      </c>
      <c r="L4" s="1" t="s">
        <v>13</v>
      </c>
      <c r="M4" s="1" t="s">
        <v>14</v>
      </c>
    </row>
    <row r="5" spans="1:14" ht="29" x14ac:dyDescent="0.35">
      <c r="A5" s="51" t="s">
        <v>15</v>
      </c>
      <c r="B5" s="51" t="s">
        <v>16</v>
      </c>
      <c r="C5" s="53">
        <v>1</v>
      </c>
      <c r="D5" s="59" t="s">
        <v>17</v>
      </c>
      <c r="E5" s="51" t="s">
        <v>18</v>
      </c>
      <c r="F5" s="51" t="s">
        <v>19</v>
      </c>
      <c r="G5" s="51" t="s">
        <v>20</v>
      </c>
      <c r="H5" s="52">
        <v>46243</v>
      </c>
      <c r="I5" s="53">
        <v>5</v>
      </c>
      <c r="J5" s="52">
        <f t="shared" ref="J5:J36" si="0">H5+I5</f>
        <v>46248</v>
      </c>
      <c r="K5" s="51" t="s">
        <v>21</v>
      </c>
      <c r="L5" s="51" t="s">
        <v>22</v>
      </c>
      <c r="M5" s="51" t="s">
        <v>23</v>
      </c>
    </row>
    <row r="6" spans="1:14" ht="29" customHeight="1" x14ac:dyDescent="0.35">
      <c r="A6" s="54" t="s">
        <v>15</v>
      </c>
      <c r="B6" s="54" t="s">
        <v>16</v>
      </c>
      <c r="C6" s="56">
        <v>2</v>
      </c>
      <c r="D6" s="60" t="s">
        <v>24</v>
      </c>
      <c r="E6" s="54" t="s">
        <v>18</v>
      </c>
      <c r="F6" s="54" t="s">
        <v>19</v>
      </c>
      <c r="G6" s="54" t="s">
        <v>20</v>
      </c>
      <c r="H6" s="55">
        <v>46243</v>
      </c>
      <c r="I6" s="56">
        <v>5</v>
      </c>
      <c r="J6" s="55">
        <f t="shared" si="0"/>
        <v>46248</v>
      </c>
      <c r="K6" s="54" t="s">
        <v>21</v>
      </c>
      <c r="L6" s="54" t="s">
        <v>22</v>
      </c>
      <c r="M6" s="54" t="s">
        <v>25</v>
      </c>
    </row>
    <row r="7" spans="1:14" ht="29" x14ac:dyDescent="0.35">
      <c r="A7" s="54" t="s">
        <v>15</v>
      </c>
      <c r="B7" s="54" t="s">
        <v>16</v>
      </c>
      <c r="C7" s="56">
        <v>3</v>
      </c>
      <c r="D7" s="60" t="s">
        <v>26</v>
      </c>
      <c r="E7" s="54" t="s">
        <v>18</v>
      </c>
      <c r="F7" s="54" t="s">
        <v>19</v>
      </c>
      <c r="G7" s="54" t="s">
        <v>27</v>
      </c>
      <c r="H7" s="55">
        <v>46243</v>
      </c>
      <c r="I7" s="56">
        <v>7</v>
      </c>
      <c r="J7" s="55">
        <f t="shared" si="0"/>
        <v>46250</v>
      </c>
      <c r="K7" s="54" t="s">
        <v>21</v>
      </c>
      <c r="L7" s="54" t="s">
        <v>22</v>
      </c>
      <c r="M7" s="54" t="s">
        <v>28</v>
      </c>
    </row>
    <row r="8" spans="1:14" ht="29" customHeight="1" x14ac:dyDescent="0.35">
      <c r="A8" s="54" t="s">
        <v>15</v>
      </c>
      <c r="B8" s="54" t="s">
        <v>16</v>
      </c>
      <c r="C8" s="56">
        <v>4</v>
      </c>
      <c r="D8" s="60" t="s">
        <v>29</v>
      </c>
      <c r="E8" s="54" t="s">
        <v>18</v>
      </c>
      <c r="F8" s="54" t="s">
        <v>30</v>
      </c>
      <c r="G8" s="54" t="s">
        <v>27</v>
      </c>
      <c r="H8" s="55">
        <v>46243</v>
      </c>
      <c r="I8" s="56">
        <v>7</v>
      </c>
      <c r="J8" s="55">
        <f t="shared" si="0"/>
        <v>46250</v>
      </c>
      <c r="K8" s="54" t="s">
        <v>21</v>
      </c>
      <c r="L8" s="54" t="s">
        <v>22</v>
      </c>
      <c r="M8" s="54" t="s">
        <v>31</v>
      </c>
    </row>
    <row r="9" spans="1:14" ht="29" customHeight="1" x14ac:dyDescent="0.35">
      <c r="A9" s="54" t="s">
        <v>15</v>
      </c>
      <c r="B9" s="54" t="s">
        <v>16</v>
      </c>
      <c r="C9" s="56">
        <v>5</v>
      </c>
      <c r="D9" s="60" t="s">
        <v>32</v>
      </c>
      <c r="E9" s="54" t="s">
        <v>18</v>
      </c>
      <c r="F9" s="54" t="s">
        <v>19</v>
      </c>
      <c r="G9" s="54" t="s">
        <v>27</v>
      </c>
      <c r="H9" s="55">
        <v>46243</v>
      </c>
      <c r="I9" s="56">
        <v>7</v>
      </c>
      <c r="J9" s="55">
        <f t="shared" si="0"/>
        <v>46250</v>
      </c>
      <c r="K9" s="54" t="s">
        <v>21</v>
      </c>
      <c r="L9" s="54" t="s">
        <v>22</v>
      </c>
      <c r="M9" s="54" t="s">
        <v>33</v>
      </c>
    </row>
    <row r="10" spans="1:14" ht="29" customHeight="1" x14ac:dyDescent="0.35">
      <c r="A10" s="54" t="s">
        <v>15</v>
      </c>
      <c r="B10" s="54" t="s">
        <v>16</v>
      </c>
      <c r="C10" s="56">
        <v>6</v>
      </c>
      <c r="D10" s="60" t="s">
        <v>34</v>
      </c>
      <c r="E10" s="54" t="s">
        <v>18</v>
      </c>
      <c r="F10" s="54" t="s">
        <v>19</v>
      </c>
      <c r="G10" s="54" t="s">
        <v>35</v>
      </c>
      <c r="H10" s="55">
        <v>46243</v>
      </c>
      <c r="I10" s="56">
        <v>10</v>
      </c>
      <c r="J10" s="55">
        <f t="shared" si="0"/>
        <v>46253</v>
      </c>
      <c r="K10" s="54" t="s">
        <v>21</v>
      </c>
      <c r="L10" s="54" t="s">
        <v>36</v>
      </c>
      <c r="M10" s="54" t="s">
        <v>37</v>
      </c>
    </row>
    <row r="11" spans="1:14" ht="29" customHeight="1" x14ac:dyDescent="0.35">
      <c r="A11" s="54" t="s">
        <v>15</v>
      </c>
      <c r="B11" s="54" t="s">
        <v>16</v>
      </c>
      <c r="C11" s="56">
        <v>7</v>
      </c>
      <c r="D11" s="60" t="s">
        <v>38</v>
      </c>
      <c r="E11" s="54" t="s">
        <v>18</v>
      </c>
      <c r="F11" s="54" t="s">
        <v>19</v>
      </c>
      <c r="G11" s="54" t="s">
        <v>39</v>
      </c>
      <c r="H11" s="55">
        <v>46243</v>
      </c>
      <c r="I11" s="56">
        <v>10</v>
      </c>
      <c r="J11" s="55">
        <f t="shared" si="0"/>
        <v>46253</v>
      </c>
      <c r="K11" s="54" t="s">
        <v>21</v>
      </c>
      <c r="L11" s="54" t="s">
        <v>22</v>
      </c>
      <c r="M11" s="54" t="s">
        <v>40</v>
      </c>
    </row>
    <row r="12" spans="1:14" ht="43.5" customHeight="1" x14ac:dyDescent="0.35">
      <c r="A12" s="54" t="s">
        <v>15</v>
      </c>
      <c r="B12" s="54" t="s">
        <v>16</v>
      </c>
      <c r="C12" s="56">
        <v>8</v>
      </c>
      <c r="D12" s="60" t="s">
        <v>41</v>
      </c>
      <c r="E12" s="54" t="s">
        <v>18</v>
      </c>
      <c r="F12" s="54" t="s">
        <v>19</v>
      </c>
      <c r="G12" s="54" t="s">
        <v>39</v>
      </c>
      <c r="H12" s="55">
        <v>46243</v>
      </c>
      <c r="I12" s="56">
        <v>10</v>
      </c>
      <c r="J12" s="55">
        <f t="shared" si="0"/>
        <v>46253</v>
      </c>
      <c r="K12" s="54" t="s">
        <v>21</v>
      </c>
      <c r="L12" s="54" t="s">
        <v>22</v>
      </c>
      <c r="M12" s="54" t="s">
        <v>42</v>
      </c>
    </row>
    <row r="13" spans="1:14" ht="29" x14ac:dyDescent="0.35">
      <c r="A13" s="54" t="s">
        <v>15</v>
      </c>
      <c r="B13" s="54" t="s">
        <v>16</v>
      </c>
      <c r="C13" s="56">
        <v>9</v>
      </c>
      <c r="D13" s="60" t="s">
        <v>43</v>
      </c>
      <c r="E13" s="54" t="s">
        <v>18</v>
      </c>
      <c r="F13" s="54" t="s">
        <v>19</v>
      </c>
      <c r="G13" s="54" t="s">
        <v>39</v>
      </c>
      <c r="H13" s="55">
        <v>46243</v>
      </c>
      <c r="I13" s="56">
        <v>10</v>
      </c>
      <c r="J13" s="55">
        <f t="shared" si="0"/>
        <v>46253</v>
      </c>
      <c r="K13" s="54" t="s">
        <v>44</v>
      </c>
      <c r="L13" s="54" t="s">
        <v>22</v>
      </c>
      <c r="M13" s="54" t="s">
        <v>45</v>
      </c>
    </row>
    <row r="14" spans="1:14" ht="29" customHeight="1" x14ac:dyDescent="0.35">
      <c r="A14" s="54" t="s">
        <v>46</v>
      </c>
      <c r="B14" s="54" t="s">
        <v>47</v>
      </c>
      <c r="C14" s="56">
        <v>10</v>
      </c>
      <c r="D14" s="60" t="s">
        <v>48</v>
      </c>
      <c r="E14" s="54" t="s">
        <v>18</v>
      </c>
      <c r="F14" s="54" t="s">
        <v>30</v>
      </c>
      <c r="G14" s="54" t="s">
        <v>39</v>
      </c>
      <c r="H14" s="55">
        <v>46243</v>
      </c>
      <c r="I14" s="56">
        <v>14</v>
      </c>
      <c r="J14" s="55">
        <f t="shared" si="0"/>
        <v>46257</v>
      </c>
      <c r="K14" s="54" t="s">
        <v>21</v>
      </c>
      <c r="L14" s="54" t="s">
        <v>36</v>
      </c>
      <c r="M14" s="54" t="s">
        <v>49</v>
      </c>
    </row>
    <row r="15" spans="1:14" ht="29" customHeight="1" x14ac:dyDescent="0.35">
      <c r="A15" s="54" t="s">
        <v>46</v>
      </c>
      <c r="B15" s="54" t="s">
        <v>50</v>
      </c>
      <c r="C15" s="56">
        <v>11</v>
      </c>
      <c r="D15" s="60" t="s">
        <v>26</v>
      </c>
      <c r="E15" s="54" t="s">
        <v>18</v>
      </c>
      <c r="F15" s="54" t="s">
        <v>19</v>
      </c>
      <c r="G15" s="54" t="s">
        <v>27</v>
      </c>
      <c r="H15" s="55">
        <v>46243</v>
      </c>
      <c r="I15" s="56">
        <v>14</v>
      </c>
      <c r="J15" s="55">
        <f t="shared" si="0"/>
        <v>46257</v>
      </c>
      <c r="K15" s="54" t="s">
        <v>21</v>
      </c>
      <c r="L15" s="54" t="s">
        <v>22</v>
      </c>
      <c r="M15" s="54" t="s">
        <v>51</v>
      </c>
    </row>
    <row r="16" spans="1:14" ht="29" customHeight="1" x14ac:dyDescent="0.35">
      <c r="A16" s="54" t="s">
        <v>46</v>
      </c>
      <c r="B16" s="54" t="s">
        <v>50</v>
      </c>
      <c r="C16" s="56">
        <v>12</v>
      </c>
      <c r="D16" s="60" t="s">
        <v>52</v>
      </c>
      <c r="E16" s="54" t="s">
        <v>18</v>
      </c>
      <c r="F16" s="54" t="s">
        <v>19</v>
      </c>
      <c r="G16" s="54" t="s">
        <v>35</v>
      </c>
      <c r="H16" s="55">
        <v>46243</v>
      </c>
      <c r="I16" s="56">
        <v>14</v>
      </c>
      <c r="J16" s="55">
        <f t="shared" si="0"/>
        <v>46257</v>
      </c>
      <c r="K16" s="54" t="s">
        <v>21</v>
      </c>
      <c r="L16" s="54" t="s">
        <v>36</v>
      </c>
      <c r="M16" s="54" t="s">
        <v>53</v>
      </c>
    </row>
    <row r="17" spans="1:13" ht="29" customHeight="1" x14ac:dyDescent="0.35">
      <c r="A17" s="54" t="s">
        <v>46</v>
      </c>
      <c r="B17" s="54" t="s">
        <v>47</v>
      </c>
      <c r="C17" s="56">
        <v>13</v>
      </c>
      <c r="D17" s="60" t="s">
        <v>54</v>
      </c>
      <c r="E17" s="54" t="s">
        <v>18</v>
      </c>
      <c r="F17" s="54" t="s">
        <v>30</v>
      </c>
      <c r="G17" s="54" t="s">
        <v>27</v>
      </c>
      <c r="H17" s="55">
        <v>46243</v>
      </c>
      <c r="I17" s="56">
        <v>14</v>
      </c>
      <c r="J17" s="55">
        <f t="shared" si="0"/>
        <v>46257</v>
      </c>
      <c r="K17" s="54" t="s">
        <v>21</v>
      </c>
      <c r="L17" s="54" t="s">
        <v>22</v>
      </c>
      <c r="M17" s="54" t="s">
        <v>55</v>
      </c>
    </row>
    <row r="18" spans="1:13" x14ac:dyDescent="0.35">
      <c r="A18" s="54" t="s">
        <v>15</v>
      </c>
      <c r="B18" s="54" t="s">
        <v>56</v>
      </c>
      <c r="C18" s="56">
        <v>14</v>
      </c>
      <c r="D18" s="60" t="s">
        <v>57</v>
      </c>
      <c r="E18" s="54" t="s">
        <v>18</v>
      </c>
      <c r="F18" s="54" t="s">
        <v>19</v>
      </c>
      <c r="G18" s="54" t="s">
        <v>39</v>
      </c>
      <c r="H18" s="55">
        <v>46250</v>
      </c>
      <c r="I18" s="56">
        <v>5</v>
      </c>
      <c r="J18" s="55">
        <f t="shared" si="0"/>
        <v>46255</v>
      </c>
      <c r="K18" s="54" t="s">
        <v>21</v>
      </c>
      <c r="L18" s="54" t="s">
        <v>22</v>
      </c>
      <c r="M18" s="54" t="s">
        <v>58</v>
      </c>
    </row>
    <row r="19" spans="1:13" x14ac:dyDescent="0.35">
      <c r="A19" s="54" t="s">
        <v>15</v>
      </c>
      <c r="B19" s="54" t="s">
        <v>56</v>
      </c>
      <c r="C19" s="56">
        <v>15</v>
      </c>
      <c r="D19" s="60" t="s">
        <v>59</v>
      </c>
      <c r="E19" s="54" t="s">
        <v>18</v>
      </c>
      <c r="F19" s="54" t="s">
        <v>19</v>
      </c>
      <c r="G19" s="54" t="s">
        <v>39</v>
      </c>
      <c r="H19" s="55">
        <v>46250</v>
      </c>
      <c r="I19" s="56">
        <v>5</v>
      </c>
      <c r="J19" s="55">
        <f t="shared" si="0"/>
        <v>46255</v>
      </c>
      <c r="K19" s="54" t="s">
        <v>21</v>
      </c>
      <c r="L19" s="54" t="s">
        <v>22</v>
      </c>
      <c r="M19" s="54" t="s">
        <v>60</v>
      </c>
    </row>
    <row r="20" spans="1:13" x14ac:dyDescent="0.35">
      <c r="A20" s="54" t="s">
        <v>15</v>
      </c>
      <c r="B20" s="54" t="s">
        <v>56</v>
      </c>
      <c r="C20" s="56">
        <v>16</v>
      </c>
      <c r="D20" s="60" t="s">
        <v>61</v>
      </c>
      <c r="E20" s="54" t="s">
        <v>18</v>
      </c>
      <c r="F20" s="54" t="s">
        <v>19</v>
      </c>
      <c r="G20" s="54" t="s">
        <v>39</v>
      </c>
      <c r="H20" s="55">
        <v>46250</v>
      </c>
      <c r="I20" s="56">
        <v>10</v>
      </c>
      <c r="J20" s="55">
        <f t="shared" si="0"/>
        <v>46260</v>
      </c>
      <c r="K20" s="54" t="s">
        <v>21</v>
      </c>
      <c r="L20" s="54" t="s">
        <v>22</v>
      </c>
      <c r="M20" s="54" t="s">
        <v>62</v>
      </c>
    </row>
    <row r="21" spans="1:13" x14ac:dyDescent="0.35">
      <c r="A21" s="54" t="s">
        <v>15</v>
      </c>
      <c r="B21" s="54" t="s">
        <v>56</v>
      </c>
      <c r="C21" s="56">
        <v>17</v>
      </c>
      <c r="D21" s="60" t="s">
        <v>63</v>
      </c>
      <c r="E21" s="54" t="s">
        <v>18</v>
      </c>
      <c r="F21" s="54" t="s">
        <v>19</v>
      </c>
      <c r="G21" s="54" t="s">
        <v>39</v>
      </c>
      <c r="H21" s="55">
        <v>46250</v>
      </c>
      <c r="I21" s="56">
        <v>10</v>
      </c>
      <c r="J21" s="55">
        <f t="shared" si="0"/>
        <v>46260</v>
      </c>
      <c r="K21" s="54" t="s">
        <v>21</v>
      </c>
      <c r="L21" s="54" t="s">
        <v>22</v>
      </c>
      <c r="M21" s="54" t="s">
        <v>64</v>
      </c>
    </row>
    <row r="22" spans="1:13" ht="29" customHeight="1" x14ac:dyDescent="0.35">
      <c r="A22" s="54" t="s">
        <v>15</v>
      </c>
      <c r="B22" s="54" t="s">
        <v>56</v>
      </c>
      <c r="C22" s="56">
        <v>18</v>
      </c>
      <c r="D22" s="60" t="s">
        <v>65</v>
      </c>
      <c r="E22" s="54" t="s">
        <v>18</v>
      </c>
      <c r="F22" s="54" t="s">
        <v>30</v>
      </c>
      <c r="G22" s="54" t="s">
        <v>35</v>
      </c>
      <c r="H22" s="55">
        <v>46250</v>
      </c>
      <c r="I22" s="56">
        <v>10</v>
      </c>
      <c r="J22" s="55">
        <f t="shared" si="0"/>
        <v>46260</v>
      </c>
      <c r="K22" s="54" t="s">
        <v>21</v>
      </c>
      <c r="L22" s="54" t="s">
        <v>36</v>
      </c>
      <c r="M22" s="54" t="s">
        <v>66</v>
      </c>
    </row>
    <row r="23" spans="1:13" ht="43.5" customHeight="1" x14ac:dyDescent="0.35">
      <c r="A23" s="54" t="s">
        <v>15</v>
      </c>
      <c r="B23" s="54" t="s">
        <v>56</v>
      </c>
      <c r="C23" s="56">
        <v>19</v>
      </c>
      <c r="D23" s="60" t="s">
        <v>67</v>
      </c>
      <c r="E23" s="54" t="s">
        <v>18</v>
      </c>
      <c r="F23" s="54" t="s">
        <v>30</v>
      </c>
      <c r="G23" s="54" t="s">
        <v>27</v>
      </c>
      <c r="H23" s="55">
        <v>46250</v>
      </c>
      <c r="I23" s="56">
        <v>14</v>
      </c>
      <c r="J23" s="55">
        <f t="shared" si="0"/>
        <v>46264</v>
      </c>
      <c r="K23" s="54" t="s">
        <v>21</v>
      </c>
      <c r="L23" s="54" t="s">
        <v>22</v>
      </c>
      <c r="M23" s="54" t="s">
        <v>68</v>
      </c>
    </row>
    <row r="24" spans="1:13" ht="29" customHeight="1" x14ac:dyDescent="0.35">
      <c r="A24" s="54" t="s">
        <v>15</v>
      </c>
      <c r="B24" s="54" t="s">
        <v>56</v>
      </c>
      <c r="C24" s="56">
        <v>20</v>
      </c>
      <c r="D24" s="60" t="s">
        <v>69</v>
      </c>
      <c r="E24" s="54" t="s">
        <v>18</v>
      </c>
      <c r="F24" s="54" t="s">
        <v>30</v>
      </c>
      <c r="G24" s="54" t="s">
        <v>35</v>
      </c>
      <c r="H24" s="55">
        <v>46250</v>
      </c>
      <c r="I24" s="56">
        <v>14</v>
      </c>
      <c r="J24" s="55">
        <f t="shared" si="0"/>
        <v>46264</v>
      </c>
      <c r="K24" s="54" t="s">
        <v>70</v>
      </c>
      <c r="L24" s="54" t="s">
        <v>36</v>
      </c>
      <c r="M24" s="54" t="s">
        <v>71</v>
      </c>
    </row>
    <row r="25" spans="1:13" ht="29" customHeight="1" x14ac:dyDescent="0.35">
      <c r="A25" s="54" t="s">
        <v>15</v>
      </c>
      <c r="B25" s="54" t="s">
        <v>56</v>
      </c>
      <c r="C25" s="56">
        <v>21</v>
      </c>
      <c r="D25" s="60" t="s">
        <v>72</v>
      </c>
      <c r="E25" s="54" t="s">
        <v>18</v>
      </c>
      <c r="F25" s="54" t="s">
        <v>30</v>
      </c>
      <c r="G25" s="54" t="s">
        <v>35</v>
      </c>
      <c r="H25" s="55">
        <v>46250</v>
      </c>
      <c r="I25" s="56">
        <v>14</v>
      </c>
      <c r="J25" s="55">
        <f t="shared" si="0"/>
        <v>46264</v>
      </c>
      <c r="K25" s="54" t="s">
        <v>70</v>
      </c>
      <c r="L25" s="54" t="s">
        <v>36</v>
      </c>
      <c r="M25" s="54" t="s">
        <v>73</v>
      </c>
    </row>
    <row r="26" spans="1:13" ht="29" customHeight="1" x14ac:dyDescent="0.35">
      <c r="A26" s="54" t="s">
        <v>15</v>
      </c>
      <c r="B26" s="54" t="s">
        <v>56</v>
      </c>
      <c r="C26" s="56">
        <v>22</v>
      </c>
      <c r="D26" s="60" t="s">
        <v>74</v>
      </c>
      <c r="E26" s="54" t="s">
        <v>18</v>
      </c>
      <c r="F26" s="54" t="s">
        <v>19</v>
      </c>
      <c r="G26" s="54" t="s">
        <v>20</v>
      </c>
      <c r="H26" s="55">
        <v>46257</v>
      </c>
      <c r="I26" s="56">
        <v>7</v>
      </c>
      <c r="J26" s="55">
        <f t="shared" si="0"/>
        <v>46264</v>
      </c>
      <c r="K26" s="54" t="s">
        <v>21</v>
      </c>
      <c r="L26" s="54" t="s">
        <v>22</v>
      </c>
      <c r="M26" s="54" t="s">
        <v>75</v>
      </c>
    </row>
    <row r="27" spans="1:13" ht="58" customHeight="1" x14ac:dyDescent="0.35">
      <c r="A27" s="54" t="s">
        <v>15</v>
      </c>
      <c r="B27" s="54" t="s">
        <v>56</v>
      </c>
      <c r="C27" s="56">
        <v>23</v>
      </c>
      <c r="D27" s="60" t="s">
        <v>76</v>
      </c>
      <c r="E27" s="54" t="s">
        <v>18</v>
      </c>
      <c r="F27" s="54" t="s">
        <v>19</v>
      </c>
      <c r="G27" s="54" t="s">
        <v>20</v>
      </c>
      <c r="H27" s="55">
        <v>46257</v>
      </c>
      <c r="I27" s="56">
        <v>14</v>
      </c>
      <c r="J27" s="55">
        <f t="shared" si="0"/>
        <v>46271</v>
      </c>
      <c r="K27" s="54" t="s">
        <v>77</v>
      </c>
      <c r="L27" s="54" t="s">
        <v>22</v>
      </c>
      <c r="M27" s="54" t="s">
        <v>78</v>
      </c>
    </row>
    <row r="28" spans="1:13" ht="29" customHeight="1" x14ac:dyDescent="0.35">
      <c r="A28" s="54" t="s">
        <v>15</v>
      </c>
      <c r="B28" s="54" t="s">
        <v>56</v>
      </c>
      <c r="C28" s="56">
        <v>24</v>
      </c>
      <c r="D28" s="60" t="s">
        <v>79</v>
      </c>
      <c r="E28" s="54" t="s">
        <v>18</v>
      </c>
      <c r="F28" s="54" t="s">
        <v>19</v>
      </c>
      <c r="G28" s="54" t="s">
        <v>27</v>
      </c>
      <c r="H28" s="55">
        <v>46257</v>
      </c>
      <c r="I28" s="56">
        <v>14</v>
      </c>
      <c r="J28" s="55">
        <f t="shared" si="0"/>
        <v>46271</v>
      </c>
      <c r="K28" s="54" t="s">
        <v>70</v>
      </c>
      <c r="L28" s="54" t="s">
        <v>22</v>
      </c>
      <c r="M28" s="54" t="s">
        <v>80</v>
      </c>
    </row>
    <row r="29" spans="1:13" ht="29" customHeight="1" x14ac:dyDescent="0.35">
      <c r="A29" s="54" t="s">
        <v>15</v>
      </c>
      <c r="B29" s="54" t="s">
        <v>56</v>
      </c>
      <c r="C29" s="56">
        <v>25</v>
      </c>
      <c r="D29" s="60" t="s">
        <v>81</v>
      </c>
      <c r="E29" s="54" t="s">
        <v>18</v>
      </c>
      <c r="F29" s="54" t="s">
        <v>19</v>
      </c>
      <c r="G29" s="54" t="s">
        <v>27</v>
      </c>
      <c r="H29" s="55">
        <v>46257</v>
      </c>
      <c r="I29" s="56">
        <v>14</v>
      </c>
      <c r="J29" s="55">
        <f t="shared" si="0"/>
        <v>46271</v>
      </c>
      <c r="K29" s="54" t="s">
        <v>70</v>
      </c>
      <c r="L29" s="54" t="s">
        <v>22</v>
      </c>
      <c r="M29" s="54"/>
    </row>
    <row r="30" spans="1:13" x14ac:dyDescent="0.35">
      <c r="A30" s="54" t="s">
        <v>15</v>
      </c>
      <c r="B30" s="54" t="s">
        <v>56</v>
      </c>
      <c r="C30" s="56">
        <v>26</v>
      </c>
      <c r="D30" s="60" t="s">
        <v>82</v>
      </c>
      <c r="E30" s="54" t="s">
        <v>18</v>
      </c>
      <c r="F30" s="54" t="s">
        <v>19</v>
      </c>
      <c r="G30" s="54" t="s">
        <v>39</v>
      </c>
      <c r="H30" s="55">
        <v>46257</v>
      </c>
      <c r="I30" s="56">
        <v>14</v>
      </c>
      <c r="J30" s="55">
        <f t="shared" si="0"/>
        <v>46271</v>
      </c>
      <c r="K30" s="54" t="s">
        <v>70</v>
      </c>
      <c r="L30" s="54" t="s">
        <v>36</v>
      </c>
      <c r="M30" s="54"/>
    </row>
    <row r="31" spans="1:13" x14ac:dyDescent="0.35">
      <c r="A31" s="54" t="s">
        <v>15</v>
      </c>
      <c r="B31" s="54" t="s">
        <v>56</v>
      </c>
      <c r="C31" s="56">
        <v>27</v>
      </c>
      <c r="D31" s="60" t="s">
        <v>83</v>
      </c>
      <c r="E31" s="54" t="s">
        <v>84</v>
      </c>
      <c r="F31" s="54" t="s">
        <v>19</v>
      </c>
      <c r="G31" s="54" t="s">
        <v>20</v>
      </c>
      <c r="H31" s="55">
        <v>46257</v>
      </c>
      <c r="I31" s="56">
        <v>1</v>
      </c>
      <c r="J31" s="55">
        <f t="shared" si="0"/>
        <v>46258</v>
      </c>
      <c r="K31" s="54" t="s">
        <v>70</v>
      </c>
      <c r="L31" s="54" t="s">
        <v>22</v>
      </c>
      <c r="M31" s="54" t="s">
        <v>85</v>
      </c>
    </row>
    <row r="32" spans="1:13" ht="29" customHeight="1" x14ac:dyDescent="0.35">
      <c r="A32" s="54" t="s">
        <v>86</v>
      </c>
      <c r="B32" s="54" t="s">
        <v>87</v>
      </c>
      <c r="C32" s="56">
        <v>28</v>
      </c>
      <c r="D32" s="60" t="s">
        <v>88</v>
      </c>
      <c r="E32" s="54" t="s">
        <v>89</v>
      </c>
      <c r="F32" s="54" t="s">
        <v>90</v>
      </c>
      <c r="G32" s="54" t="s">
        <v>90</v>
      </c>
      <c r="H32" s="55">
        <v>46243</v>
      </c>
      <c r="I32" s="56">
        <v>14</v>
      </c>
      <c r="J32" s="55">
        <f t="shared" si="0"/>
        <v>46257</v>
      </c>
      <c r="K32" s="54" t="s">
        <v>70</v>
      </c>
      <c r="L32" s="54" t="s">
        <v>90</v>
      </c>
      <c r="M32" s="54" t="s">
        <v>91</v>
      </c>
    </row>
    <row r="33" spans="1:13" ht="29" customHeight="1" x14ac:dyDescent="0.35">
      <c r="A33" s="54" t="s">
        <v>92</v>
      </c>
      <c r="B33" s="54" t="s">
        <v>93</v>
      </c>
      <c r="C33" s="56">
        <v>29</v>
      </c>
      <c r="D33" s="60" t="s">
        <v>94</v>
      </c>
      <c r="E33" s="54" t="s">
        <v>18</v>
      </c>
      <c r="F33" s="54" t="s">
        <v>19</v>
      </c>
      <c r="G33" s="54" t="s">
        <v>39</v>
      </c>
      <c r="H33" s="55">
        <v>46243</v>
      </c>
      <c r="I33" s="56">
        <v>5</v>
      </c>
      <c r="J33" s="55">
        <f t="shared" si="0"/>
        <v>46248</v>
      </c>
      <c r="K33" s="54" t="s">
        <v>70</v>
      </c>
      <c r="L33" s="54" t="s">
        <v>36</v>
      </c>
      <c r="M33" s="54" t="s">
        <v>95</v>
      </c>
    </row>
    <row r="34" spans="1:13" ht="29" customHeight="1" x14ac:dyDescent="0.35">
      <c r="A34" s="54" t="s">
        <v>96</v>
      </c>
      <c r="B34" s="54" t="s">
        <v>97</v>
      </c>
      <c r="C34" s="56">
        <v>31</v>
      </c>
      <c r="D34" s="60" t="s">
        <v>98</v>
      </c>
      <c r="E34" s="54" t="s">
        <v>18</v>
      </c>
      <c r="F34" s="54" t="s">
        <v>19</v>
      </c>
      <c r="G34" s="54" t="s">
        <v>20</v>
      </c>
      <c r="H34" s="55">
        <v>46243</v>
      </c>
      <c r="I34" s="56">
        <v>14</v>
      </c>
      <c r="J34" s="55">
        <f t="shared" si="0"/>
        <v>46257</v>
      </c>
      <c r="K34" s="54" t="s">
        <v>21</v>
      </c>
      <c r="L34" s="54" t="s">
        <v>99</v>
      </c>
      <c r="M34" s="54" t="s">
        <v>100</v>
      </c>
    </row>
    <row r="35" spans="1:13" ht="29" customHeight="1" x14ac:dyDescent="0.35">
      <c r="A35" s="54" t="s">
        <v>96</v>
      </c>
      <c r="B35" s="54" t="s">
        <v>97</v>
      </c>
      <c r="C35" s="56">
        <v>32</v>
      </c>
      <c r="D35" s="60" t="s">
        <v>101</v>
      </c>
      <c r="E35" s="54" t="s">
        <v>18</v>
      </c>
      <c r="F35" s="54" t="s">
        <v>19</v>
      </c>
      <c r="G35" s="54" t="s">
        <v>20</v>
      </c>
      <c r="H35" s="55">
        <v>46243</v>
      </c>
      <c r="I35" s="56">
        <v>14</v>
      </c>
      <c r="J35" s="55">
        <f t="shared" si="0"/>
        <v>46257</v>
      </c>
      <c r="K35" s="54" t="s">
        <v>70</v>
      </c>
      <c r="L35" s="54" t="s">
        <v>99</v>
      </c>
      <c r="M35" s="54" t="s">
        <v>102</v>
      </c>
    </row>
    <row r="36" spans="1:13" ht="29" customHeight="1" x14ac:dyDescent="0.35">
      <c r="A36" s="54" t="s">
        <v>96</v>
      </c>
      <c r="B36" s="54" t="s">
        <v>97</v>
      </c>
      <c r="C36" s="56">
        <v>33</v>
      </c>
      <c r="D36" s="60" t="s">
        <v>103</v>
      </c>
      <c r="E36" s="54" t="s">
        <v>18</v>
      </c>
      <c r="F36" s="54" t="s">
        <v>19</v>
      </c>
      <c r="G36" s="54" t="s">
        <v>20</v>
      </c>
      <c r="H36" s="55">
        <v>46243</v>
      </c>
      <c r="I36" s="56">
        <v>14</v>
      </c>
      <c r="J36" s="55">
        <f t="shared" si="0"/>
        <v>46257</v>
      </c>
      <c r="K36" s="54" t="s">
        <v>70</v>
      </c>
      <c r="L36" s="54" t="s">
        <v>99</v>
      </c>
      <c r="M36" s="54" t="s">
        <v>104</v>
      </c>
    </row>
    <row r="37" spans="1:13" ht="29" customHeight="1" x14ac:dyDescent="0.35">
      <c r="A37" s="54" t="s">
        <v>96</v>
      </c>
      <c r="B37" s="54" t="s">
        <v>105</v>
      </c>
      <c r="C37" s="56">
        <v>34</v>
      </c>
      <c r="D37" s="60" t="s">
        <v>106</v>
      </c>
      <c r="E37" s="54" t="s">
        <v>18</v>
      </c>
      <c r="F37" s="54" t="s">
        <v>19</v>
      </c>
      <c r="G37" s="54" t="s">
        <v>27</v>
      </c>
      <c r="H37" s="55">
        <v>46243</v>
      </c>
      <c r="I37" s="56">
        <v>14</v>
      </c>
      <c r="J37" s="55">
        <f t="shared" ref="J37:J68" si="1">H37+I37</f>
        <v>46257</v>
      </c>
      <c r="K37" s="54" t="s">
        <v>70</v>
      </c>
      <c r="L37" s="54" t="s">
        <v>99</v>
      </c>
      <c r="M37" s="54"/>
    </row>
    <row r="38" spans="1:13" ht="29" x14ac:dyDescent="0.35">
      <c r="A38" s="54" t="s">
        <v>92</v>
      </c>
      <c r="B38" s="54" t="s">
        <v>107</v>
      </c>
      <c r="C38" s="56">
        <v>35</v>
      </c>
      <c r="D38" s="60" t="s">
        <v>108</v>
      </c>
      <c r="E38" s="54" t="s">
        <v>18</v>
      </c>
      <c r="F38" s="54" t="s">
        <v>19</v>
      </c>
      <c r="G38" s="54" t="s">
        <v>39</v>
      </c>
      <c r="H38" s="55">
        <v>46243</v>
      </c>
      <c r="I38" s="56"/>
      <c r="J38" s="55">
        <f t="shared" si="1"/>
        <v>46243</v>
      </c>
      <c r="K38" s="54" t="s">
        <v>70</v>
      </c>
      <c r="L38" s="54" t="s">
        <v>36</v>
      </c>
      <c r="M38" s="54"/>
    </row>
    <row r="39" spans="1:13" ht="29" customHeight="1" x14ac:dyDescent="0.35">
      <c r="A39" s="54" t="s">
        <v>109</v>
      </c>
      <c r="B39" s="54" t="s">
        <v>110</v>
      </c>
      <c r="C39" s="56">
        <v>36</v>
      </c>
      <c r="D39" s="60" t="s">
        <v>111</v>
      </c>
      <c r="E39" s="54" t="s">
        <v>109</v>
      </c>
      <c r="F39" s="54" t="s">
        <v>19</v>
      </c>
      <c r="G39" s="54" t="s">
        <v>27</v>
      </c>
      <c r="H39" s="55">
        <v>46243</v>
      </c>
      <c r="I39" s="56">
        <v>21</v>
      </c>
      <c r="J39" s="55">
        <f t="shared" si="1"/>
        <v>46264</v>
      </c>
      <c r="K39" s="54" t="s">
        <v>70</v>
      </c>
      <c r="L39" s="54" t="s">
        <v>90</v>
      </c>
      <c r="M39" s="54" t="s">
        <v>112</v>
      </c>
    </row>
    <row r="40" spans="1:13" x14ac:dyDescent="0.35">
      <c r="A40" s="54" t="s">
        <v>109</v>
      </c>
      <c r="B40" s="54" t="s">
        <v>110</v>
      </c>
      <c r="C40" s="56">
        <v>37</v>
      </c>
      <c r="D40" s="60" t="s">
        <v>113</v>
      </c>
      <c r="E40" s="54" t="s">
        <v>109</v>
      </c>
      <c r="F40" s="54" t="s">
        <v>19</v>
      </c>
      <c r="G40" s="54" t="s">
        <v>27</v>
      </c>
      <c r="H40" s="55">
        <v>46243</v>
      </c>
      <c r="I40" s="56">
        <v>21</v>
      </c>
      <c r="J40" s="55">
        <f t="shared" si="1"/>
        <v>46264</v>
      </c>
      <c r="K40" s="54" t="s">
        <v>70</v>
      </c>
      <c r="L40" s="54" t="s">
        <v>90</v>
      </c>
      <c r="M40" s="54" t="s">
        <v>114</v>
      </c>
    </row>
    <row r="41" spans="1:13" x14ac:dyDescent="0.35">
      <c r="A41" s="54" t="s">
        <v>109</v>
      </c>
      <c r="B41" s="54" t="s">
        <v>110</v>
      </c>
      <c r="C41" s="56">
        <v>38</v>
      </c>
      <c r="D41" s="60" t="s">
        <v>115</v>
      </c>
      <c r="E41" s="54" t="s">
        <v>109</v>
      </c>
      <c r="F41" s="54" t="s">
        <v>19</v>
      </c>
      <c r="G41" s="54" t="s">
        <v>27</v>
      </c>
      <c r="H41" s="55">
        <v>46243</v>
      </c>
      <c r="I41" s="56">
        <v>21</v>
      </c>
      <c r="J41" s="55">
        <f t="shared" si="1"/>
        <v>46264</v>
      </c>
      <c r="K41" s="54" t="s">
        <v>70</v>
      </c>
      <c r="L41" s="54" t="s">
        <v>90</v>
      </c>
      <c r="M41" s="54" t="s">
        <v>116</v>
      </c>
    </row>
    <row r="42" spans="1:13" x14ac:dyDescent="0.35">
      <c r="A42" s="54" t="s">
        <v>109</v>
      </c>
      <c r="B42" s="54" t="s">
        <v>110</v>
      </c>
      <c r="C42" s="56">
        <v>39</v>
      </c>
      <c r="D42" s="60" t="s">
        <v>117</v>
      </c>
      <c r="E42" s="54" t="s">
        <v>109</v>
      </c>
      <c r="F42" s="54" t="s">
        <v>19</v>
      </c>
      <c r="G42" s="54" t="s">
        <v>27</v>
      </c>
      <c r="H42" s="55">
        <v>46243</v>
      </c>
      <c r="I42" s="56">
        <v>21</v>
      </c>
      <c r="J42" s="55">
        <f t="shared" si="1"/>
        <v>46264</v>
      </c>
      <c r="K42" s="54" t="s">
        <v>70</v>
      </c>
      <c r="L42" s="54" t="s">
        <v>90</v>
      </c>
      <c r="M42" s="54" t="s">
        <v>118</v>
      </c>
    </row>
    <row r="43" spans="1:13" ht="29" customHeight="1" x14ac:dyDescent="0.35">
      <c r="A43" s="54" t="s">
        <v>109</v>
      </c>
      <c r="B43" s="54" t="s">
        <v>110</v>
      </c>
      <c r="C43" s="56">
        <v>40</v>
      </c>
      <c r="D43" s="60" t="s">
        <v>119</v>
      </c>
      <c r="E43" s="54" t="s">
        <v>109</v>
      </c>
      <c r="F43" s="54" t="s">
        <v>19</v>
      </c>
      <c r="G43" s="54" t="s">
        <v>27</v>
      </c>
      <c r="H43" s="55">
        <v>46243</v>
      </c>
      <c r="I43" s="56">
        <v>21</v>
      </c>
      <c r="J43" s="55">
        <f t="shared" si="1"/>
        <v>46264</v>
      </c>
      <c r="K43" s="54" t="s">
        <v>70</v>
      </c>
      <c r="L43" s="54" t="s">
        <v>90</v>
      </c>
      <c r="M43" s="54" t="s">
        <v>120</v>
      </c>
    </row>
    <row r="44" spans="1:13" x14ac:dyDescent="0.35">
      <c r="A44" s="54" t="s">
        <v>109</v>
      </c>
      <c r="B44" s="54" t="s">
        <v>110</v>
      </c>
      <c r="C44" s="56">
        <v>41</v>
      </c>
      <c r="D44" s="60" t="s">
        <v>121</v>
      </c>
      <c r="E44" s="54" t="s">
        <v>109</v>
      </c>
      <c r="F44" s="54" t="s">
        <v>19</v>
      </c>
      <c r="G44" s="54" t="s">
        <v>27</v>
      </c>
      <c r="H44" s="55">
        <v>46243</v>
      </c>
      <c r="I44" s="56">
        <v>21</v>
      </c>
      <c r="J44" s="55">
        <f t="shared" si="1"/>
        <v>46264</v>
      </c>
      <c r="K44" s="54" t="s">
        <v>70</v>
      </c>
      <c r="L44" s="54" t="s">
        <v>90</v>
      </c>
      <c r="M44" s="54" t="s">
        <v>122</v>
      </c>
    </row>
    <row r="45" spans="1:13" ht="29" customHeight="1" x14ac:dyDescent="0.35">
      <c r="A45" s="54" t="s">
        <v>109</v>
      </c>
      <c r="B45" s="54" t="s">
        <v>110</v>
      </c>
      <c r="C45" s="56">
        <v>42</v>
      </c>
      <c r="D45" s="60" t="s">
        <v>123</v>
      </c>
      <c r="E45" s="54" t="s">
        <v>109</v>
      </c>
      <c r="F45" s="54" t="s">
        <v>19</v>
      </c>
      <c r="G45" s="54" t="s">
        <v>27</v>
      </c>
      <c r="H45" s="55">
        <v>46243</v>
      </c>
      <c r="I45" s="56">
        <v>21</v>
      </c>
      <c r="J45" s="55">
        <f t="shared" si="1"/>
        <v>46264</v>
      </c>
      <c r="K45" s="54" t="s">
        <v>70</v>
      </c>
      <c r="L45" s="54" t="s">
        <v>90</v>
      </c>
      <c r="M45" s="54" t="s">
        <v>124</v>
      </c>
    </row>
    <row r="46" spans="1:13" ht="29" customHeight="1" x14ac:dyDescent="0.35">
      <c r="A46" s="54" t="s">
        <v>109</v>
      </c>
      <c r="B46" s="54" t="s">
        <v>110</v>
      </c>
      <c r="C46" s="56">
        <v>43</v>
      </c>
      <c r="D46" s="60" t="s">
        <v>125</v>
      </c>
      <c r="E46" s="54" t="s">
        <v>109</v>
      </c>
      <c r="F46" s="54" t="s">
        <v>19</v>
      </c>
      <c r="G46" s="54" t="s">
        <v>27</v>
      </c>
      <c r="H46" s="55">
        <v>46243</v>
      </c>
      <c r="I46" s="56">
        <v>21</v>
      </c>
      <c r="J46" s="55">
        <f t="shared" si="1"/>
        <v>46264</v>
      </c>
      <c r="K46" s="54" t="s">
        <v>70</v>
      </c>
      <c r="L46" s="54" t="s">
        <v>90</v>
      </c>
      <c r="M46" s="54" t="s">
        <v>126</v>
      </c>
    </row>
    <row r="47" spans="1:13" ht="29" customHeight="1" x14ac:dyDescent="0.35">
      <c r="A47" s="54" t="s">
        <v>109</v>
      </c>
      <c r="B47" s="54" t="s">
        <v>110</v>
      </c>
      <c r="C47" s="56">
        <v>44</v>
      </c>
      <c r="D47" s="60" t="s">
        <v>127</v>
      </c>
      <c r="E47" s="54" t="s">
        <v>109</v>
      </c>
      <c r="F47" s="54" t="s">
        <v>19</v>
      </c>
      <c r="G47" s="54" t="s">
        <v>27</v>
      </c>
      <c r="H47" s="55">
        <v>46243</v>
      </c>
      <c r="I47" s="56">
        <v>21</v>
      </c>
      <c r="J47" s="55">
        <f t="shared" si="1"/>
        <v>46264</v>
      </c>
      <c r="K47" s="54" t="s">
        <v>21</v>
      </c>
      <c r="L47" s="54" t="s">
        <v>90</v>
      </c>
      <c r="M47" s="54" t="s">
        <v>128</v>
      </c>
    </row>
    <row r="48" spans="1:13" ht="29" customHeight="1" x14ac:dyDescent="0.35">
      <c r="A48" s="54" t="s">
        <v>109</v>
      </c>
      <c r="B48" s="54" t="s">
        <v>110</v>
      </c>
      <c r="C48" s="56">
        <v>45</v>
      </c>
      <c r="D48" s="60" t="s">
        <v>129</v>
      </c>
      <c r="E48" s="54" t="s">
        <v>109</v>
      </c>
      <c r="F48" s="54" t="s">
        <v>19</v>
      </c>
      <c r="G48" s="54" t="s">
        <v>27</v>
      </c>
      <c r="H48" s="55">
        <v>46243</v>
      </c>
      <c r="I48" s="56">
        <v>21</v>
      </c>
      <c r="J48" s="55">
        <f t="shared" si="1"/>
        <v>46264</v>
      </c>
      <c r="K48" s="54" t="s">
        <v>21</v>
      </c>
      <c r="L48" s="54" t="s">
        <v>90</v>
      </c>
      <c r="M48" s="54" t="s">
        <v>130</v>
      </c>
    </row>
    <row r="49" spans="1:13" ht="29" customHeight="1" x14ac:dyDescent="0.35">
      <c r="A49" s="54" t="s">
        <v>109</v>
      </c>
      <c r="B49" s="54" t="s">
        <v>110</v>
      </c>
      <c r="C49" s="56">
        <v>46</v>
      </c>
      <c r="D49" s="60" t="s">
        <v>131</v>
      </c>
      <c r="E49" s="54" t="s">
        <v>109</v>
      </c>
      <c r="F49" s="54" t="s">
        <v>19</v>
      </c>
      <c r="G49" s="54" t="s">
        <v>39</v>
      </c>
      <c r="H49" s="55">
        <v>46243</v>
      </c>
      <c r="I49" s="56">
        <v>21</v>
      </c>
      <c r="J49" s="55">
        <f t="shared" si="1"/>
        <v>46264</v>
      </c>
      <c r="K49" s="54" t="s">
        <v>70</v>
      </c>
      <c r="L49" s="54" t="s">
        <v>90</v>
      </c>
      <c r="M49" s="54" t="s">
        <v>132</v>
      </c>
    </row>
    <row r="50" spans="1:13" ht="29" customHeight="1" x14ac:dyDescent="0.35">
      <c r="A50" s="54" t="s">
        <v>109</v>
      </c>
      <c r="B50" s="54" t="s">
        <v>110</v>
      </c>
      <c r="C50" s="56">
        <v>47</v>
      </c>
      <c r="D50" s="60" t="s">
        <v>133</v>
      </c>
      <c r="E50" s="54" t="s">
        <v>109</v>
      </c>
      <c r="F50" s="54" t="s">
        <v>19</v>
      </c>
      <c r="G50" s="54" t="s">
        <v>39</v>
      </c>
      <c r="H50" s="55">
        <v>46243</v>
      </c>
      <c r="I50" s="56">
        <v>21</v>
      </c>
      <c r="J50" s="55">
        <f t="shared" si="1"/>
        <v>46264</v>
      </c>
      <c r="K50" s="54" t="s">
        <v>70</v>
      </c>
      <c r="L50" s="54" t="s">
        <v>90</v>
      </c>
      <c r="M50" s="54" t="s">
        <v>134</v>
      </c>
    </row>
    <row r="51" spans="1:13" ht="29" customHeight="1" x14ac:dyDescent="0.35">
      <c r="A51" s="54" t="s">
        <v>109</v>
      </c>
      <c r="B51" s="54" t="s">
        <v>110</v>
      </c>
      <c r="C51" s="56">
        <v>48</v>
      </c>
      <c r="D51" s="60" t="s">
        <v>135</v>
      </c>
      <c r="E51" s="54" t="s">
        <v>109</v>
      </c>
      <c r="F51" s="54" t="s">
        <v>19</v>
      </c>
      <c r="G51" s="54" t="s">
        <v>39</v>
      </c>
      <c r="H51" s="55">
        <v>46243</v>
      </c>
      <c r="I51" s="56">
        <v>21</v>
      </c>
      <c r="J51" s="55">
        <f t="shared" si="1"/>
        <v>46264</v>
      </c>
      <c r="K51" s="54" t="s">
        <v>70</v>
      </c>
      <c r="L51" s="54" t="s">
        <v>90</v>
      </c>
      <c r="M51" s="54" t="s">
        <v>136</v>
      </c>
    </row>
    <row r="52" spans="1:13" ht="43.5" customHeight="1" x14ac:dyDescent="0.35">
      <c r="A52" s="54" t="s">
        <v>109</v>
      </c>
      <c r="B52" s="54" t="s">
        <v>110</v>
      </c>
      <c r="C52" s="56">
        <v>49</v>
      </c>
      <c r="D52" s="60" t="s">
        <v>137</v>
      </c>
      <c r="E52" s="54" t="s">
        <v>109</v>
      </c>
      <c r="F52" s="54" t="s">
        <v>19</v>
      </c>
      <c r="G52" s="54" t="s">
        <v>39</v>
      </c>
      <c r="H52" s="55">
        <v>46243</v>
      </c>
      <c r="I52" s="56">
        <v>21</v>
      </c>
      <c r="J52" s="55">
        <f t="shared" si="1"/>
        <v>46264</v>
      </c>
      <c r="K52" s="54" t="s">
        <v>70</v>
      </c>
      <c r="L52" s="54" t="s">
        <v>90</v>
      </c>
      <c r="M52" s="54" t="s">
        <v>138</v>
      </c>
    </row>
    <row r="53" spans="1:13" x14ac:dyDescent="0.35">
      <c r="A53" s="54" t="s">
        <v>15</v>
      </c>
      <c r="B53" s="54" t="s">
        <v>56</v>
      </c>
      <c r="C53" s="56">
        <v>50</v>
      </c>
      <c r="D53" s="60" t="s">
        <v>57</v>
      </c>
      <c r="E53" s="54" t="s">
        <v>18</v>
      </c>
      <c r="F53" s="54" t="s">
        <v>19</v>
      </c>
      <c r="G53" s="54" t="s">
        <v>39</v>
      </c>
      <c r="H53" s="55">
        <v>46250</v>
      </c>
      <c r="I53" s="56">
        <v>5</v>
      </c>
      <c r="J53" s="55">
        <f t="shared" si="1"/>
        <v>46255</v>
      </c>
      <c r="K53" s="54" t="s">
        <v>70</v>
      </c>
      <c r="L53" s="54" t="s">
        <v>22</v>
      </c>
      <c r="M53" s="54" t="s">
        <v>139</v>
      </c>
    </row>
    <row r="54" spans="1:13" ht="29" x14ac:dyDescent="0.35">
      <c r="A54" s="54" t="s">
        <v>92</v>
      </c>
      <c r="B54" s="54" t="s">
        <v>107</v>
      </c>
      <c r="C54" s="56">
        <v>51</v>
      </c>
      <c r="D54" s="60" t="s">
        <v>140</v>
      </c>
      <c r="E54" s="54" t="s">
        <v>18</v>
      </c>
      <c r="F54" s="54" t="s">
        <v>19</v>
      </c>
      <c r="G54" s="54" t="s">
        <v>39</v>
      </c>
      <c r="H54" s="55">
        <v>46261</v>
      </c>
      <c r="I54" s="56">
        <v>14</v>
      </c>
      <c r="J54" s="55">
        <f t="shared" si="1"/>
        <v>46275</v>
      </c>
      <c r="K54" s="54" t="s">
        <v>70</v>
      </c>
      <c r="L54" s="54" t="s">
        <v>36</v>
      </c>
      <c r="M54" s="54" t="s">
        <v>141</v>
      </c>
    </row>
    <row r="55" spans="1:13" x14ac:dyDescent="0.35">
      <c r="A55" s="54" t="s">
        <v>142</v>
      </c>
      <c r="B55" s="54" t="s">
        <v>143</v>
      </c>
      <c r="C55" s="56">
        <v>52</v>
      </c>
      <c r="D55" s="60" t="s">
        <v>144</v>
      </c>
      <c r="E55" s="54" t="s">
        <v>145</v>
      </c>
      <c r="F55" s="54" t="s">
        <v>19</v>
      </c>
      <c r="G55" s="54" t="s">
        <v>90</v>
      </c>
      <c r="H55" s="55">
        <v>46264</v>
      </c>
      <c r="I55" s="56">
        <v>14</v>
      </c>
      <c r="J55" s="55">
        <f t="shared" si="1"/>
        <v>46278</v>
      </c>
      <c r="K55" s="54" t="s">
        <v>70</v>
      </c>
      <c r="L55" s="54" t="s">
        <v>90</v>
      </c>
      <c r="M55" s="54" t="s">
        <v>146</v>
      </c>
    </row>
    <row r="56" spans="1:13" x14ac:dyDescent="0.35">
      <c r="A56" s="54" t="s">
        <v>142</v>
      </c>
      <c r="B56" s="54" t="s">
        <v>143</v>
      </c>
      <c r="C56" s="56">
        <v>53</v>
      </c>
      <c r="D56" s="60" t="s">
        <v>147</v>
      </c>
      <c r="E56" s="54" t="s">
        <v>145</v>
      </c>
      <c r="F56" s="54" t="s">
        <v>19</v>
      </c>
      <c r="G56" s="54" t="s">
        <v>90</v>
      </c>
      <c r="H56" s="55">
        <v>46264</v>
      </c>
      <c r="I56" s="56">
        <v>14</v>
      </c>
      <c r="J56" s="55">
        <f t="shared" si="1"/>
        <v>46278</v>
      </c>
      <c r="K56" s="54" t="s">
        <v>70</v>
      </c>
      <c r="L56" s="54" t="s">
        <v>90</v>
      </c>
      <c r="M56" s="54" t="s">
        <v>146</v>
      </c>
    </row>
    <row r="57" spans="1:13" x14ac:dyDescent="0.35">
      <c r="A57" s="54" t="s">
        <v>142</v>
      </c>
      <c r="B57" s="54" t="s">
        <v>143</v>
      </c>
      <c r="C57" s="56">
        <v>54</v>
      </c>
      <c r="D57" s="60" t="s">
        <v>148</v>
      </c>
      <c r="E57" s="54" t="s">
        <v>145</v>
      </c>
      <c r="F57" s="54" t="s">
        <v>19</v>
      </c>
      <c r="G57" s="54" t="s">
        <v>90</v>
      </c>
      <c r="H57" s="55">
        <v>46264</v>
      </c>
      <c r="I57" s="56">
        <v>14</v>
      </c>
      <c r="J57" s="55">
        <f t="shared" si="1"/>
        <v>46278</v>
      </c>
      <c r="K57" s="54" t="s">
        <v>70</v>
      </c>
      <c r="L57" s="54" t="s">
        <v>90</v>
      </c>
      <c r="M57" s="54" t="s">
        <v>146</v>
      </c>
    </row>
    <row r="58" spans="1:13" x14ac:dyDescent="0.35">
      <c r="A58" s="54" t="s">
        <v>142</v>
      </c>
      <c r="B58" s="54" t="s">
        <v>143</v>
      </c>
      <c r="C58" s="56">
        <v>55</v>
      </c>
      <c r="D58" s="60" t="s">
        <v>149</v>
      </c>
      <c r="E58" s="54" t="s">
        <v>145</v>
      </c>
      <c r="F58" s="54" t="s">
        <v>19</v>
      </c>
      <c r="G58" s="54" t="s">
        <v>90</v>
      </c>
      <c r="H58" s="55">
        <v>46264</v>
      </c>
      <c r="I58" s="56">
        <v>14</v>
      </c>
      <c r="J58" s="55">
        <f t="shared" si="1"/>
        <v>46278</v>
      </c>
      <c r="K58" s="54" t="s">
        <v>70</v>
      </c>
      <c r="L58" s="54" t="s">
        <v>90</v>
      </c>
      <c r="M58" s="54" t="s">
        <v>146</v>
      </c>
    </row>
    <row r="59" spans="1:13" x14ac:dyDescent="0.35">
      <c r="A59" s="54" t="s">
        <v>142</v>
      </c>
      <c r="B59" s="54" t="s">
        <v>143</v>
      </c>
      <c r="C59" s="56">
        <v>56</v>
      </c>
      <c r="D59" s="60" t="s">
        <v>150</v>
      </c>
      <c r="E59" s="54" t="s">
        <v>145</v>
      </c>
      <c r="F59" s="54" t="s">
        <v>19</v>
      </c>
      <c r="G59" s="54" t="s">
        <v>90</v>
      </c>
      <c r="H59" s="55">
        <v>46264</v>
      </c>
      <c r="I59" s="56">
        <v>14</v>
      </c>
      <c r="J59" s="55">
        <f t="shared" si="1"/>
        <v>46278</v>
      </c>
      <c r="K59" s="54" t="s">
        <v>70</v>
      </c>
      <c r="L59" s="54" t="s">
        <v>90</v>
      </c>
      <c r="M59" s="54" t="s">
        <v>146</v>
      </c>
    </row>
    <row r="60" spans="1:13" x14ac:dyDescent="0.35">
      <c r="A60" s="54" t="s">
        <v>142</v>
      </c>
      <c r="B60" s="54" t="s">
        <v>143</v>
      </c>
      <c r="C60" s="56">
        <v>57</v>
      </c>
      <c r="D60" s="60" t="s">
        <v>151</v>
      </c>
      <c r="E60" s="54" t="s">
        <v>145</v>
      </c>
      <c r="F60" s="54" t="s">
        <v>19</v>
      </c>
      <c r="G60" s="54" t="s">
        <v>90</v>
      </c>
      <c r="H60" s="55">
        <v>46264</v>
      </c>
      <c r="I60" s="56">
        <v>14</v>
      </c>
      <c r="J60" s="55">
        <f t="shared" si="1"/>
        <v>46278</v>
      </c>
      <c r="K60" s="54" t="s">
        <v>70</v>
      </c>
      <c r="L60" s="54" t="s">
        <v>90</v>
      </c>
      <c r="M60" s="54" t="s">
        <v>146</v>
      </c>
    </row>
    <row r="61" spans="1:13" x14ac:dyDescent="0.35">
      <c r="A61" s="54" t="s">
        <v>142</v>
      </c>
      <c r="B61" s="54" t="s">
        <v>143</v>
      </c>
      <c r="C61" s="56">
        <v>58</v>
      </c>
      <c r="D61" s="60" t="s">
        <v>152</v>
      </c>
      <c r="E61" s="54" t="s">
        <v>145</v>
      </c>
      <c r="F61" s="54" t="s">
        <v>19</v>
      </c>
      <c r="G61" s="54" t="s">
        <v>90</v>
      </c>
      <c r="H61" s="55">
        <v>46264</v>
      </c>
      <c r="I61" s="56">
        <v>14</v>
      </c>
      <c r="J61" s="55">
        <f t="shared" si="1"/>
        <v>46278</v>
      </c>
      <c r="K61" s="54" t="s">
        <v>70</v>
      </c>
      <c r="L61" s="54" t="s">
        <v>90</v>
      </c>
      <c r="M61" s="54" t="s">
        <v>146</v>
      </c>
    </row>
    <row r="62" spans="1:13" x14ac:dyDescent="0.35">
      <c r="A62" s="54" t="s">
        <v>142</v>
      </c>
      <c r="B62" s="54" t="s">
        <v>143</v>
      </c>
      <c r="C62" s="56">
        <v>59</v>
      </c>
      <c r="D62" s="60" t="s">
        <v>153</v>
      </c>
      <c r="E62" s="54" t="s">
        <v>145</v>
      </c>
      <c r="F62" s="54" t="s">
        <v>19</v>
      </c>
      <c r="G62" s="54" t="s">
        <v>90</v>
      </c>
      <c r="H62" s="55">
        <v>46264</v>
      </c>
      <c r="I62" s="56">
        <v>14</v>
      </c>
      <c r="J62" s="55">
        <f t="shared" si="1"/>
        <v>46278</v>
      </c>
      <c r="K62" s="54" t="s">
        <v>70</v>
      </c>
      <c r="L62" s="54" t="s">
        <v>90</v>
      </c>
      <c r="M62" s="54" t="s">
        <v>146</v>
      </c>
    </row>
    <row r="63" spans="1:13" x14ac:dyDescent="0.35">
      <c r="A63" s="54" t="s">
        <v>142</v>
      </c>
      <c r="B63" s="54" t="s">
        <v>143</v>
      </c>
      <c r="C63" s="56">
        <v>60</v>
      </c>
      <c r="D63" s="60" t="s">
        <v>154</v>
      </c>
      <c r="E63" s="54" t="s">
        <v>145</v>
      </c>
      <c r="F63" s="54" t="s">
        <v>19</v>
      </c>
      <c r="G63" s="54" t="s">
        <v>90</v>
      </c>
      <c r="H63" s="55">
        <v>46264</v>
      </c>
      <c r="I63" s="56">
        <v>14</v>
      </c>
      <c r="J63" s="55">
        <f t="shared" si="1"/>
        <v>46278</v>
      </c>
      <c r="K63" s="54" t="s">
        <v>70</v>
      </c>
      <c r="L63" s="54" t="s">
        <v>90</v>
      </c>
      <c r="M63" s="54" t="s">
        <v>146</v>
      </c>
    </row>
    <row r="64" spans="1:13" x14ac:dyDescent="0.35">
      <c r="A64" s="54" t="s">
        <v>142</v>
      </c>
      <c r="B64" s="54" t="s">
        <v>143</v>
      </c>
      <c r="C64" s="56">
        <v>61</v>
      </c>
      <c r="D64" s="60" t="s">
        <v>155</v>
      </c>
      <c r="E64" s="54" t="s">
        <v>145</v>
      </c>
      <c r="F64" s="54" t="s">
        <v>19</v>
      </c>
      <c r="G64" s="54" t="s">
        <v>90</v>
      </c>
      <c r="H64" s="55">
        <v>46264</v>
      </c>
      <c r="I64" s="56">
        <v>14</v>
      </c>
      <c r="J64" s="55">
        <f t="shared" si="1"/>
        <v>46278</v>
      </c>
      <c r="K64" s="54" t="s">
        <v>70</v>
      </c>
      <c r="L64" s="54" t="s">
        <v>90</v>
      </c>
      <c r="M64" s="54" t="s">
        <v>146</v>
      </c>
    </row>
    <row r="65" spans="1:13" x14ac:dyDescent="0.35">
      <c r="A65" s="54" t="s">
        <v>142</v>
      </c>
      <c r="B65" s="54" t="s">
        <v>143</v>
      </c>
      <c r="C65" s="56">
        <v>62</v>
      </c>
      <c r="D65" s="60" t="s">
        <v>156</v>
      </c>
      <c r="E65" s="54" t="s">
        <v>145</v>
      </c>
      <c r="F65" s="54" t="s">
        <v>19</v>
      </c>
      <c r="G65" s="54" t="s">
        <v>90</v>
      </c>
      <c r="H65" s="55">
        <v>46264</v>
      </c>
      <c r="I65" s="56">
        <v>14</v>
      </c>
      <c r="J65" s="55">
        <f t="shared" si="1"/>
        <v>46278</v>
      </c>
      <c r="K65" s="54" t="s">
        <v>70</v>
      </c>
      <c r="L65" s="54" t="s">
        <v>90</v>
      </c>
      <c r="M65" s="54" t="s">
        <v>146</v>
      </c>
    </row>
    <row r="66" spans="1:13" ht="29" customHeight="1" x14ac:dyDescent="0.35">
      <c r="A66" s="54" t="s">
        <v>92</v>
      </c>
      <c r="B66" s="54" t="s">
        <v>157</v>
      </c>
      <c r="C66" s="56">
        <v>63</v>
      </c>
      <c r="D66" s="60" t="s">
        <v>158</v>
      </c>
      <c r="E66" s="54" t="s">
        <v>18</v>
      </c>
      <c r="F66" s="54" t="s">
        <v>19</v>
      </c>
      <c r="G66" s="54" t="s">
        <v>39</v>
      </c>
      <c r="H66" s="55">
        <v>46264</v>
      </c>
      <c r="I66" s="56">
        <v>14</v>
      </c>
      <c r="J66" s="55">
        <f t="shared" si="1"/>
        <v>46278</v>
      </c>
      <c r="K66" s="54" t="s">
        <v>77</v>
      </c>
      <c r="L66" s="54" t="s">
        <v>36</v>
      </c>
      <c r="M66" s="54" t="s">
        <v>159</v>
      </c>
    </row>
    <row r="67" spans="1:13" ht="29" x14ac:dyDescent="0.35">
      <c r="A67" s="54" t="s">
        <v>92</v>
      </c>
      <c r="B67" s="54" t="s">
        <v>107</v>
      </c>
      <c r="C67" s="56">
        <v>64</v>
      </c>
      <c r="D67" s="60" t="s">
        <v>160</v>
      </c>
      <c r="E67" s="54" t="s">
        <v>18</v>
      </c>
      <c r="F67" s="54" t="s">
        <v>19</v>
      </c>
      <c r="G67" s="54" t="s">
        <v>39</v>
      </c>
      <c r="H67" s="55">
        <v>46264</v>
      </c>
      <c r="I67" s="56">
        <v>14</v>
      </c>
      <c r="J67" s="55">
        <f t="shared" si="1"/>
        <v>46278</v>
      </c>
      <c r="K67" s="54" t="s">
        <v>70</v>
      </c>
      <c r="L67" s="54" t="s">
        <v>36</v>
      </c>
      <c r="M67" s="54" t="s">
        <v>161</v>
      </c>
    </row>
    <row r="68" spans="1:13" ht="43.5" customHeight="1" x14ac:dyDescent="0.35">
      <c r="A68" s="54" t="s">
        <v>92</v>
      </c>
      <c r="B68" s="54" t="s">
        <v>107</v>
      </c>
      <c r="C68" s="56">
        <v>65</v>
      </c>
      <c r="D68" s="60" t="s">
        <v>162</v>
      </c>
      <c r="E68" s="54" t="s">
        <v>18</v>
      </c>
      <c r="F68" s="54" t="s">
        <v>19</v>
      </c>
      <c r="G68" s="54" t="s">
        <v>27</v>
      </c>
      <c r="H68" s="55">
        <v>46264</v>
      </c>
      <c r="I68" s="56">
        <v>14</v>
      </c>
      <c r="J68" s="55">
        <f t="shared" si="1"/>
        <v>46278</v>
      </c>
      <c r="K68" s="54" t="s">
        <v>70</v>
      </c>
      <c r="L68" s="54" t="s">
        <v>22</v>
      </c>
      <c r="M68" s="54" t="s">
        <v>163</v>
      </c>
    </row>
    <row r="69" spans="1:13" ht="29" x14ac:dyDescent="0.35">
      <c r="A69" s="54" t="s">
        <v>92</v>
      </c>
      <c r="B69" s="54" t="s">
        <v>107</v>
      </c>
      <c r="C69" s="56">
        <v>66</v>
      </c>
      <c r="D69" s="60" t="s">
        <v>164</v>
      </c>
      <c r="E69" s="54" t="s">
        <v>18</v>
      </c>
      <c r="F69" s="54" t="s">
        <v>19</v>
      </c>
      <c r="G69" s="54" t="s">
        <v>27</v>
      </c>
      <c r="H69" s="55">
        <v>46264</v>
      </c>
      <c r="I69" s="56">
        <v>14</v>
      </c>
      <c r="J69" s="55">
        <f t="shared" ref="J69:J100" si="2">H69+I69</f>
        <v>46278</v>
      </c>
      <c r="K69" s="54" t="s">
        <v>70</v>
      </c>
      <c r="L69" s="54" t="s">
        <v>22</v>
      </c>
      <c r="M69" s="54"/>
    </row>
    <row r="70" spans="1:13" ht="29" customHeight="1" x14ac:dyDescent="0.35">
      <c r="A70" s="54" t="s">
        <v>46</v>
      </c>
      <c r="B70" s="54" t="s">
        <v>50</v>
      </c>
      <c r="C70" s="56">
        <v>67</v>
      </c>
      <c r="D70" s="60" t="s">
        <v>165</v>
      </c>
      <c r="E70" s="54" t="s">
        <v>18</v>
      </c>
      <c r="F70" s="54" t="s">
        <v>166</v>
      </c>
      <c r="G70" s="54" t="s">
        <v>39</v>
      </c>
      <c r="H70" s="55">
        <v>46243</v>
      </c>
      <c r="I70" s="56">
        <v>14</v>
      </c>
      <c r="J70" s="55">
        <f t="shared" si="2"/>
        <v>46257</v>
      </c>
      <c r="K70" s="54" t="s">
        <v>70</v>
      </c>
      <c r="L70" s="54" t="s">
        <v>36</v>
      </c>
      <c r="M70" s="54"/>
    </row>
    <row r="71" spans="1:13" ht="29" customHeight="1" x14ac:dyDescent="0.35">
      <c r="A71" s="54" t="s">
        <v>142</v>
      </c>
      <c r="B71" s="54" t="s">
        <v>167</v>
      </c>
      <c r="C71" s="56">
        <v>68</v>
      </c>
      <c r="D71" s="60" t="s">
        <v>168</v>
      </c>
      <c r="E71" s="54" t="s">
        <v>169</v>
      </c>
      <c r="F71" s="54" t="s">
        <v>19</v>
      </c>
      <c r="G71" s="54" t="s">
        <v>20</v>
      </c>
      <c r="H71" s="55">
        <v>46278</v>
      </c>
      <c r="I71" s="56">
        <v>7</v>
      </c>
      <c r="J71" s="55">
        <f t="shared" si="2"/>
        <v>46285</v>
      </c>
      <c r="K71" s="54" t="s">
        <v>70</v>
      </c>
      <c r="L71" s="54" t="s">
        <v>22</v>
      </c>
      <c r="M71" s="54" t="s">
        <v>170</v>
      </c>
    </row>
    <row r="72" spans="1:13" x14ac:dyDescent="0.35">
      <c r="A72" s="54" t="s">
        <v>15</v>
      </c>
      <c r="B72" s="54" t="s">
        <v>171</v>
      </c>
      <c r="C72" s="56">
        <v>69</v>
      </c>
      <c r="D72" s="60" t="s">
        <v>172</v>
      </c>
      <c r="E72" s="54" t="s">
        <v>169</v>
      </c>
      <c r="F72" s="54" t="s">
        <v>19</v>
      </c>
      <c r="G72" s="54" t="s">
        <v>20</v>
      </c>
      <c r="H72" s="55">
        <v>46278</v>
      </c>
      <c r="I72" s="56">
        <v>7</v>
      </c>
      <c r="J72" s="55">
        <f t="shared" si="2"/>
        <v>46285</v>
      </c>
      <c r="K72" s="54" t="s">
        <v>70</v>
      </c>
      <c r="L72" s="54" t="s">
        <v>22</v>
      </c>
      <c r="M72" s="54"/>
    </row>
    <row r="73" spans="1:13" ht="29" customHeight="1" x14ac:dyDescent="0.35">
      <c r="A73" s="54" t="s">
        <v>15</v>
      </c>
      <c r="B73" s="54" t="s">
        <v>171</v>
      </c>
      <c r="C73" s="56">
        <v>70</v>
      </c>
      <c r="D73" s="60" t="s">
        <v>173</v>
      </c>
      <c r="E73" s="54" t="s">
        <v>169</v>
      </c>
      <c r="F73" s="54" t="s">
        <v>19</v>
      </c>
      <c r="G73" s="54" t="s">
        <v>20</v>
      </c>
      <c r="H73" s="55">
        <v>46278</v>
      </c>
      <c r="I73" s="56">
        <v>7</v>
      </c>
      <c r="J73" s="55">
        <f t="shared" si="2"/>
        <v>46285</v>
      </c>
      <c r="K73" s="54" t="s">
        <v>70</v>
      </c>
      <c r="L73" s="54" t="s">
        <v>22</v>
      </c>
      <c r="M73" s="54"/>
    </row>
    <row r="74" spans="1:13" x14ac:dyDescent="0.35">
      <c r="A74" s="54" t="s">
        <v>15</v>
      </c>
      <c r="B74" s="54" t="s">
        <v>171</v>
      </c>
      <c r="C74" s="56">
        <v>71</v>
      </c>
      <c r="D74" s="60" t="s">
        <v>174</v>
      </c>
      <c r="E74" s="54" t="s">
        <v>169</v>
      </c>
      <c r="F74" s="54" t="s">
        <v>19</v>
      </c>
      <c r="G74" s="54" t="s">
        <v>20</v>
      </c>
      <c r="H74" s="55">
        <v>46278</v>
      </c>
      <c r="I74" s="56">
        <v>7</v>
      </c>
      <c r="J74" s="55">
        <f t="shared" si="2"/>
        <v>46285</v>
      </c>
      <c r="K74" s="54" t="s">
        <v>70</v>
      </c>
      <c r="L74" s="54" t="s">
        <v>22</v>
      </c>
      <c r="M74" s="54"/>
    </row>
    <row r="75" spans="1:13" ht="29" customHeight="1" x14ac:dyDescent="0.35">
      <c r="A75" s="54" t="s">
        <v>15</v>
      </c>
      <c r="B75" s="54" t="s">
        <v>171</v>
      </c>
      <c r="C75" s="56">
        <v>72</v>
      </c>
      <c r="D75" s="60" t="s">
        <v>175</v>
      </c>
      <c r="E75" s="54" t="s">
        <v>169</v>
      </c>
      <c r="F75" s="54" t="s">
        <v>19</v>
      </c>
      <c r="G75" s="54" t="s">
        <v>20</v>
      </c>
      <c r="H75" s="55">
        <v>46278</v>
      </c>
      <c r="I75" s="56">
        <v>7</v>
      </c>
      <c r="J75" s="55">
        <f t="shared" si="2"/>
        <v>46285</v>
      </c>
      <c r="K75" s="54" t="s">
        <v>70</v>
      </c>
      <c r="L75" s="54" t="s">
        <v>22</v>
      </c>
      <c r="M75" s="54" t="s">
        <v>176</v>
      </c>
    </row>
    <row r="76" spans="1:13" ht="29" customHeight="1" x14ac:dyDescent="0.35">
      <c r="A76" s="54" t="s">
        <v>15</v>
      </c>
      <c r="B76" s="54" t="s">
        <v>171</v>
      </c>
      <c r="C76" s="56">
        <v>73</v>
      </c>
      <c r="D76" s="60" t="s">
        <v>177</v>
      </c>
      <c r="E76" s="54" t="s">
        <v>169</v>
      </c>
      <c r="F76" s="54" t="s">
        <v>19</v>
      </c>
      <c r="G76" s="54" t="s">
        <v>20</v>
      </c>
      <c r="H76" s="55">
        <v>46278</v>
      </c>
      <c r="I76" s="56">
        <v>7</v>
      </c>
      <c r="J76" s="55">
        <f t="shared" si="2"/>
        <v>46285</v>
      </c>
      <c r="K76" s="54" t="s">
        <v>70</v>
      </c>
      <c r="L76" s="54" t="s">
        <v>22</v>
      </c>
      <c r="M76" s="54"/>
    </row>
    <row r="77" spans="1:13" ht="29" customHeight="1" x14ac:dyDescent="0.35">
      <c r="A77" s="54" t="s">
        <v>15</v>
      </c>
      <c r="B77" s="54" t="s">
        <v>171</v>
      </c>
      <c r="C77" s="56">
        <v>74</v>
      </c>
      <c r="D77" s="60" t="s">
        <v>178</v>
      </c>
      <c r="E77" s="54" t="s">
        <v>169</v>
      </c>
      <c r="F77" s="54" t="s">
        <v>19</v>
      </c>
      <c r="G77" s="54" t="s">
        <v>20</v>
      </c>
      <c r="H77" s="55">
        <v>46278</v>
      </c>
      <c r="I77" s="56">
        <v>7</v>
      </c>
      <c r="J77" s="55">
        <f t="shared" si="2"/>
        <v>46285</v>
      </c>
      <c r="K77" s="54" t="s">
        <v>70</v>
      </c>
      <c r="L77" s="54" t="s">
        <v>22</v>
      </c>
      <c r="M77" s="54"/>
    </row>
    <row r="78" spans="1:13" ht="43.5" customHeight="1" x14ac:dyDescent="0.35">
      <c r="A78" s="54" t="s">
        <v>15</v>
      </c>
      <c r="B78" s="54" t="s">
        <v>171</v>
      </c>
      <c r="C78" s="56">
        <v>75</v>
      </c>
      <c r="D78" s="60" t="s">
        <v>179</v>
      </c>
      <c r="E78" s="54" t="s">
        <v>169</v>
      </c>
      <c r="F78" s="54" t="s">
        <v>19</v>
      </c>
      <c r="G78" s="54" t="s">
        <v>20</v>
      </c>
      <c r="H78" s="55">
        <v>46278</v>
      </c>
      <c r="I78" s="56">
        <v>7</v>
      </c>
      <c r="J78" s="55">
        <f t="shared" si="2"/>
        <v>46285</v>
      </c>
      <c r="K78" s="54" t="s">
        <v>70</v>
      </c>
      <c r="L78" s="54" t="s">
        <v>22</v>
      </c>
      <c r="M78" s="54" t="s">
        <v>180</v>
      </c>
    </row>
    <row r="79" spans="1:13" ht="29" customHeight="1" x14ac:dyDescent="0.35">
      <c r="A79" s="54" t="s">
        <v>15</v>
      </c>
      <c r="B79" s="54" t="s">
        <v>171</v>
      </c>
      <c r="C79" s="56">
        <v>76</v>
      </c>
      <c r="D79" s="60" t="s">
        <v>181</v>
      </c>
      <c r="E79" s="54" t="s">
        <v>169</v>
      </c>
      <c r="F79" s="54" t="s">
        <v>19</v>
      </c>
      <c r="G79" s="54" t="s">
        <v>20</v>
      </c>
      <c r="H79" s="55">
        <v>46278</v>
      </c>
      <c r="I79" s="56">
        <v>7</v>
      </c>
      <c r="J79" s="55">
        <f t="shared" si="2"/>
        <v>46285</v>
      </c>
      <c r="K79" s="54" t="s">
        <v>70</v>
      </c>
      <c r="L79" s="54" t="s">
        <v>22</v>
      </c>
      <c r="M79" s="54" t="s">
        <v>182</v>
      </c>
    </row>
    <row r="80" spans="1:13" ht="29" customHeight="1" x14ac:dyDescent="0.35">
      <c r="A80" s="54" t="s">
        <v>15</v>
      </c>
      <c r="B80" s="54" t="s">
        <v>171</v>
      </c>
      <c r="C80" s="56">
        <v>77</v>
      </c>
      <c r="D80" s="60" t="s">
        <v>183</v>
      </c>
      <c r="E80" s="54" t="s">
        <v>169</v>
      </c>
      <c r="F80" s="54" t="s">
        <v>19</v>
      </c>
      <c r="G80" s="54" t="s">
        <v>20</v>
      </c>
      <c r="H80" s="55">
        <v>46278</v>
      </c>
      <c r="I80" s="56">
        <v>7</v>
      </c>
      <c r="J80" s="55">
        <f t="shared" si="2"/>
        <v>46285</v>
      </c>
      <c r="K80" s="54" t="s">
        <v>70</v>
      </c>
      <c r="L80" s="54" t="s">
        <v>22</v>
      </c>
      <c r="M80" s="54" t="s">
        <v>184</v>
      </c>
    </row>
    <row r="81" spans="1:13" x14ac:dyDescent="0.35">
      <c r="A81" s="54" t="s">
        <v>185</v>
      </c>
      <c r="B81" s="54" t="s">
        <v>186</v>
      </c>
      <c r="C81" s="56">
        <v>78</v>
      </c>
      <c r="D81" s="60" t="s">
        <v>187</v>
      </c>
      <c r="E81" s="54" t="s">
        <v>18</v>
      </c>
      <c r="F81" s="54" t="s">
        <v>19</v>
      </c>
      <c r="G81" s="54" t="s">
        <v>20</v>
      </c>
      <c r="H81" s="55">
        <v>46282</v>
      </c>
      <c r="I81" s="56">
        <v>1</v>
      </c>
      <c r="J81" s="55">
        <f t="shared" si="2"/>
        <v>46283</v>
      </c>
      <c r="K81" s="54" t="s">
        <v>70</v>
      </c>
      <c r="L81" s="54" t="s">
        <v>90</v>
      </c>
      <c r="M81" s="54" t="s">
        <v>188</v>
      </c>
    </row>
    <row r="82" spans="1:13" x14ac:dyDescent="0.35">
      <c r="A82" s="54" t="s">
        <v>185</v>
      </c>
      <c r="B82" s="54" t="s">
        <v>186</v>
      </c>
      <c r="C82" s="56">
        <v>79</v>
      </c>
      <c r="D82" s="60" t="s">
        <v>189</v>
      </c>
      <c r="E82" s="54" t="s">
        <v>18</v>
      </c>
      <c r="F82" s="54" t="s">
        <v>19</v>
      </c>
      <c r="G82" s="54" t="s">
        <v>20</v>
      </c>
      <c r="H82" s="55">
        <v>46282</v>
      </c>
      <c r="I82" s="56">
        <v>1</v>
      </c>
      <c r="J82" s="55">
        <f t="shared" si="2"/>
        <v>46283</v>
      </c>
      <c r="K82" s="54" t="s">
        <v>70</v>
      </c>
      <c r="L82" s="54" t="s">
        <v>90</v>
      </c>
      <c r="M82" s="54"/>
    </row>
    <row r="83" spans="1:13" ht="29" customHeight="1" x14ac:dyDescent="0.35">
      <c r="A83" s="54" t="s">
        <v>185</v>
      </c>
      <c r="B83" s="54" t="s">
        <v>186</v>
      </c>
      <c r="C83" s="56">
        <v>80</v>
      </c>
      <c r="D83" s="60" t="s">
        <v>190</v>
      </c>
      <c r="E83" s="54" t="s">
        <v>18</v>
      </c>
      <c r="F83" s="54" t="s">
        <v>19</v>
      </c>
      <c r="G83" s="54" t="s">
        <v>27</v>
      </c>
      <c r="H83" s="55">
        <v>46282</v>
      </c>
      <c r="I83" s="56">
        <v>1</v>
      </c>
      <c r="J83" s="55">
        <f t="shared" si="2"/>
        <v>46283</v>
      </c>
      <c r="K83" s="54" t="s">
        <v>70</v>
      </c>
      <c r="L83" s="54" t="s">
        <v>90</v>
      </c>
      <c r="M83" s="54"/>
    </row>
    <row r="84" spans="1:13" x14ac:dyDescent="0.35">
      <c r="A84" s="54" t="s">
        <v>185</v>
      </c>
      <c r="B84" s="54" t="s">
        <v>186</v>
      </c>
      <c r="C84" s="56">
        <v>81</v>
      </c>
      <c r="D84" s="60" t="s">
        <v>191</v>
      </c>
      <c r="E84" s="54" t="s">
        <v>18</v>
      </c>
      <c r="F84" s="54" t="s">
        <v>19</v>
      </c>
      <c r="G84" s="54" t="s">
        <v>27</v>
      </c>
      <c r="H84" s="55">
        <v>46282</v>
      </c>
      <c r="I84" s="56">
        <v>1</v>
      </c>
      <c r="J84" s="55">
        <f t="shared" si="2"/>
        <v>46283</v>
      </c>
      <c r="K84" s="54" t="s">
        <v>70</v>
      </c>
      <c r="L84" s="54" t="s">
        <v>90</v>
      </c>
      <c r="M84" s="54"/>
    </row>
    <row r="85" spans="1:13" x14ac:dyDescent="0.35">
      <c r="A85" s="54" t="s">
        <v>185</v>
      </c>
      <c r="B85" s="54" t="s">
        <v>186</v>
      </c>
      <c r="C85" s="56">
        <v>82</v>
      </c>
      <c r="D85" s="60" t="s">
        <v>192</v>
      </c>
      <c r="E85" s="54" t="s">
        <v>18</v>
      </c>
      <c r="F85" s="54" t="s">
        <v>19</v>
      </c>
      <c r="G85" s="54" t="s">
        <v>27</v>
      </c>
      <c r="H85" s="55">
        <v>46282</v>
      </c>
      <c r="I85" s="56">
        <v>1</v>
      </c>
      <c r="J85" s="55">
        <f t="shared" si="2"/>
        <v>46283</v>
      </c>
      <c r="K85" s="54" t="s">
        <v>70</v>
      </c>
      <c r="L85" s="54" t="s">
        <v>90</v>
      </c>
      <c r="M85" s="54"/>
    </row>
    <row r="86" spans="1:13" ht="29" customHeight="1" x14ac:dyDescent="0.35">
      <c r="A86" s="54" t="s">
        <v>185</v>
      </c>
      <c r="B86" s="54" t="s">
        <v>186</v>
      </c>
      <c r="C86" s="56">
        <v>83</v>
      </c>
      <c r="D86" s="60" t="s">
        <v>193</v>
      </c>
      <c r="E86" s="54" t="s">
        <v>18</v>
      </c>
      <c r="F86" s="54" t="s">
        <v>194</v>
      </c>
      <c r="G86" s="54" t="s">
        <v>27</v>
      </c>
      <c r="H86" s="55">
        <v>46282</v>
      </c>
      <c r="I86" s="56">
        <v>1</v>
      </c>
      <c r="J86" s="55">
        <f t="shared" si="2"/>
        <v>46283</v>
      </c>
      <c r="K86" s="54" t="s">
        <v>70</v>
      </c>
      <c r="L86" s="54" t="s">
        <v>90</v>
      </c>
      <c r="M86" s="54" t="s">
        <v>195</v>
      </c>
    </row>
    <row r="87" spans="1:13" ht="29" customHeight="1" x14ac:dyDescent="0.35">
      <c r="A87" s="54" t="s">
        <v>185</v>
      </c>
      <c r="B87" s="54" t="s">
        <v>186</v>
      </c>
      <c r="C87" s="56">
        <v>84</v>
      </c>
      <c r="D87" s="60" t="s">
        <v>196</v>
      </c>
      <c r="E87" s="54" t="s">
        <v>18</v>
      </c>
      <c r="F87" s="54" t="s">
        <v>194</v>
      </c>
      <c r="G87" s="54" t="s">
        <v>27</v>
      </c>
      <c r="H87" s="55">
        <v>46282</v>
      </c>
      <c r="I87" s="56">
        <v>1</v>
      </c>
      <c r="J87" s="55">
        <f t="shared" si="2"/>
        <v>46283</v>
      </c>
      <c r="K87" s="54" t="s">
        <v>70</v>
      </c>
      <c r="L87" s="54" t="s">
        <v>90</v>
      </c>
      <c r="M87" s="54" t="s">
        <v>197</v>
      </c>
    </row>
    <row r="88" spans="1:13" ht="43.5" customHeight="1" x14ac:dyDescent="0.35">
      <c r="A88" s="54" t="s">
        <v>185</v>
      </c>
      <c r="B88" s="54" t="s">
        <v>186</v>
      </c>
      <c r="C88" s="56">
        <v>85</v>
      </c>
      <c r="D88" s="60" t="s">
        <v>198</v>
      </c>
      <c r="E88" s="54" t="s">
        <v>18</v>
      </c>
      <c r="F88" s="54" t="s">
        <v>199</v>
      </c>
      <c r="G88" s="54" t="s">
        <v>27</v>
      </c>
      <c r="H88" s="55">
        <v>46282</v>
      </c>
      <c r="I88" s="56">
        <v>1</v>
      </c>
      <c r="J88" s="55">
        <f t="shared" si="2"/>
        <v>46283</v>
      </c>
      <c r="K88" s="54" t="s">
        <v>70</v>
      </c>
      <c r="L88" s="54" t="s">
        <v>90</v>
      </c>
      <c r="M88" s="54"/>
    </row>
    <row r="89" spans="1:13" ht="29" customHeight="1" x14ac:dyDescent="0.35">
      <c r="A89" s="54" t="s">
        <v>185</v>
      </c>
      <c r="B89" s="54" t="s">
        <v>186</v>
      </c>
      <c r="C89" s="56">
        <v>86</v>
      </c>
      <c r="D89" s="60" t="s">
        <v>200</v>
      </c>
      <c r="E89" s="54" t="s">
        <v>18</v>
      </c>
      <c r="F89" s="54" t="s">
        <v>166</v>
      </c>
      <c r="G89" s="54" t="s">
        <v>39</v>
      </c>
      <c r="H89" s="55">
        <v>46282</v>
      </c>
      <c r="I89" s="56">
        <v>1</v>
      </c>
      <c r="J89" s="55">
        <f t="shared" si="2"/>
        <v>46283</v>
      </c>
      <c r="K89" s="54" t="s">
        <v>70</v>
      </c>
      <c r="L89" s="54" t="s">
        <v>90</v>
      </c>
      <c r="M89" s="54"/>
    </row>
    <row r="90" spans="1:13" ht="43.5" customHeight="1" x14ac:dyDescent="0.35">
      <c r="A90" s="54" t="s">
        <v>185</v>
      </c>
      <c r="B90" s="54" t="s">
        <v>186</v>
      </c>
      <c r="C90" s="56">
        <v>87</v>
      </c>
      <c r="D90" s="60" t="s">
        <v>201</v>
      </c>
      <c r="E90" s="54" t="s">
        <v>18</v>
      </c>
      <c r="F90" s="54" t="s">
        <v>19</v>
      </c>
      <c r="G90" s="54" t="s">
        <v>39</v>
      </c>
      <c r="H90" s="55">
        <v>46282</v>
      </c>
      <c r="I90" s="56">
        <v>1</v>
      </c>
      <c r="J90" s="55">
        <f t="shared" si="2"/>
        <v>46283</v>
      </c>
      <c r="K90" s="54" t="s">
        <v>70</v>
      </c>
      <c r="L90" s="54" t="s">
        <v>90</v>
      </c>
      <c r="M90" s="54" t="s">
        <v>202</v>
      </c>
    </row>
    <row r="91" spans="1:13" ht="29" customHeight="1" x14ac:dyDescent="0.35">
      <c r="A91" s="54" t="s">
        <v>96</v>
      </c>
      <c r="B91" s="54" t="s">
        <v>203</v>
      </c>
      <c r="C91" s="56">
        <v>88</v>
      </c>
      <c r="D91" s="60" t="s">
        <v>204</v>
      </c>
      <c r="E91" s="54" t="s">
        <v>18</v>
      </c>
      <c r="F91" s="54" t="s">
        <v>19</v>
      </c>
      <c r="G91" s="54" t="s">
        <v>20</v>
      </c>
      <c r="H91" s="55">
        <v>46295</v>
      </c>
      <c r="I91" s="56">
        <v>30</v>
      </c>
      <c r="J91" s="55">
        <f t="shared" si="2"/>
        <v>46325</v>
      </c>
      <c r="K91" s="54" t="s">
        <v>70</v>
      </c>
      <c r="L91" s="54" t="s">
        <v>99</v>
      </c>
      <c r="M91" s="54" t="s">
        <v>205</v>
      </c>
    </row>
    <row r="92" spans="1:13" ht="29" customHeight="1" x14ac:dyDescent="0.35">
      <c r="A92" s="54" t="s">
        <v>96</v>
      </c>
      <c r="B92" s="54" t="s">
        <v>203</v>
      </c>
      <c r="C92" s="56">
        <v>89</v>
      </c>
      <c r="D92" s="60" t="s">
        <v>206</v>
      </c>
      <c r="E92" s="54" t="s">
        <v>18</v>
      </c>
      <c r="F92" s="54" t="s">
        <v>19</v>
      </c>
      <c r="G92" s="54" t="s">
        <v>20</v>
      </c>
      <c r="H92" s="55">
        <v>46295</v>
      </c>
      <c r="I92" s="56">
        <v>30</v>
      </c>
      <c r="J92" s="55">
        <f t="shared" si="2"/>
        <v>46325</v>
      </c>
      <c r="K92" s="54" t="s">
        <v>70</v>
      </c>
      <c r="L92" s="54" t="s">
        <v>99</v>
      </c>
      <c r="M92" s="54" t="s">
        <v>207</v>
      </c>
    </row>
    <row r="93" spans="1:13" ht="29" customHeight="1" x14ac:dyDescent="0.35">
      <c r="A93" s="54" t="s">
        <v>96</v>
      </c>
      <c r="B93" s="54" t="s">
        <v>203</v>
      </c>
      <c r="C93" s="56">
        <v>90</v>
      </c>
      <c r="D93" s="60" t="s">
        <v>208</v>
      </c>
      <c r="E93" s="54" t="s">
        <v>18</v>
      </c>
      <c r="F93" s="54" t="s">
        <v>19</v>
      </c>
      <c r="G93" s="54" t="s">
        <v>20</v>
      </c>
      <c r="H93" s="55">
        <v>46295</v>
      </c>
      <c r="I93" s="56">
        <v>30</v>
      </c>
      <c r="J93" s="55">
        <f t="shared" si="2"/>
        <v>46325</v>
      </c>
      <c r="K93" s="54" t="s">
        <v>70</v>
      </c>
      <c r="L93" s="54" t="s">
        <v>99</v>
      </c>
      <c r="M93" s="54" t="s">
        <v>209</v>
      </c>
    </row>
    <row r="94" spans="1:13" ht="29" customHeight="1" x14ac:dyDescent="0.35">
      <c r="A94" s="54" t="s">
        <v>96</v>
      </c>
      <c r="B94" s="54" t="s">
        <v>210</v>
      </c>
      <c r="C94" s="56">
        <v>91</v>
      </c>
      <c r="D94" s="60" t="s">
        <v>211</v>
      </c>
      <c r="E94" s="54" t="s">
        <v>18</v>
      </c>
      <c r="F94" s="54" t="s">
        <v>19</v>
      </c>
      <c r="G94" s="54" t="s">
        <v>27</v>
      </c>
      <c r="H94" s="55">
        <v>46295</v>
      </c>
      <c r="I94" s="56">
        <v>30</v>
      </c>
      <c r="J94" s="55">
        <f t="shared" si="2"/>
        <v>46325</v>
      </c>
      <c r="K94" s="54" t="s">
        <v>70</v>
      </c>
      <c r="L94" s="54" t="s">
        <v>99</v>
      </c>
      <c r="M94" s="54" t="s">
        <v>212</v>
      </c>
    </row>
    <row r="95" spans="1:13" ht="29" customHeight="1" x14ac:dyDescent="0.35">
      <c r="A95" s="54" t="s">
        <v>96</v>
      </c>
      <c r="B95" s="54" t="s">
        <v>213</v>
      </c>
      <c r="C95" s="56">
        <v>92</v>
      </c>
      <c r="D95" s="60" t="s">
        <v>214</v>
      </c>
      <c r="E95" s="54" t="s">
        <v>18</v>
      </c>
      <c r="F95" s="54" t="s">
        <v>19</v>
      </c>
      <c r="G95" s="54" t="s">
        <v>39</v>
      </c>
      <c r="H95" s="55">
        <v>46295</v>
      </c>
      <c r="I95" s="56">
        <v>30</v>
      </c>
      <c r="J95" s="55">
        <f t="shared" si="2"/>
        <v>46325</v>
      </c>
      <c r="K95" s="54" t="s">
        <v>70</v>
      </c>
      <c r="L95" s="54" t="s">
        <v>22</v>
      </c>
      <c r="M95" s="54" t="s">
        <v>215</v>
      </c>
    </row>
    <row r="96" spans="1:13" ht="29" customHeight="1" x14ac:dyDescent="0.35">
      <c r="A96" s="54" t="s">
        <v>216</v>
      </c>
      <c r="B96" s="54" t="s">
        <v>217</v>
      </c>
      <c r="C96" s="56">
        <v>93</v>
      </c>
      <c r="D96" s="60" t="s">
        <v>218</v>
      </c>
      <c r="E96" s="54" t="s">
        <v>18</v>
      </c>
      <c r="F96" s="54" t="s">
        <v>30</v>
      </c>
      <c r="G96" s="54" t="s">
        <v>27</v>
      </c>
      <c r="H96" s="55">
        <v>46295</v>
      </c>
      <c r="I96" s="56">
        <v>30</v>
      </c>
      <c r="J96" s="55">
        <f t="shared" si="2"/>
        <v>46325</v>
      </c>
      <c r="K96" s="54" t="s">
        <v>70</v>
      </c>
      <c r="L96" s="54" t="s">
        <v>22</v>
      </c>
      <c r="M96" s="54" t="s">
        <v>219</v>
      </c>
    </row>
    <row r="97" spans="1:13" ht="29" customHeight="1" x14ac:dyDescent="0.35">
      <c r="A97" s="54" t="s">
        <v>216</v>
      </c>
      <c r="B97" s="54" t="s">
        <v>217</v>
      </c>
      <c r="C97" s="56">
        <v>94</v>
      </c>
      <c r="D97" s="60" t="s">
        <v>220</v>
      </c>
      <c r="E97" s="54" t="s">
        <v>18</v>
      </c>
      <c r="F97" s="54" t="s">
        <v>30</v>
      </c>
      <c r="G97" s="54" t="s">
        <v>27</v>
      </c>
      <c r="H97" s="55">
        <v>46295</v>
      </c>
      <c r="I97" s="56">
        <v>30</v>
      </c>
      <c r="J97" s="55">
        <f t="shared" si="2"/>
        <v>46325</v>
      </c>
      <c r="K97" s="54" t="s">
        <v>70</v>
      </c>
      <c r="L97" s="54" t="s">
        <v>22</v>
      </c>
      <c r="M97" s="54" t="s">
        <v>221</v>
      </c>
    </row>
    <row r="98" spans="1:13" ht="29" customHeight="1" x14ac:dyDescent="0.35">
      <c r="A98" s="54" t="s">
        <v>216</v>
      </c>
      <c r="B98" s="54" t="s">
        <v>217</v>
      </c>
      <c r="C98" s="56">
        <v>95</v>
      </c>
      <c r="D98" s="60" t="s">
        <v>222</v>
      </c>
      <c r="E98" s="54" t="s">
        <v>18</v>
      </c>
      <c r="F98" s="54" t="s">
        <v>30</v>
      </c>
      <c r="G98" s="54" t="s">
        <v>39</v>
      </c>
      <c r="H98" s="55">
        <v>46295</v>
      </c>
      <c r="I98" s="56">
        <v>30</v>
      </c>
      <c r="J98" s="55">
        <f t="shared" si="2"/>
        <v>46325</v>
      </c>
      <c r="K98" s="54" t="s">
        <v>70</v>
      </c>
      <c r="L98" s="54" t="s">
        <v>36</v>
      </c>
      <c r="M98" s="54" t="s">
        <v>223</v>
      </c>
    </row>
    <row r="99" spans="1:13" x14ac:dyDescent="0.35">
      <c r="A99" s="54" t="s">
        <v>216</v>
      </c>
      <c r="B99" s="54" t="s">
        <v>56</v>
      </c>
      <c r="C99" s="56">
        <v>96</v>
      </c>
      <c r="D99" s="60" t="s">
        <v>224</v>
      </c>
      <c r="E99" s="54" t="s">
        <v>18</v>
      </c>
      <c r="F99" s="54" t="s">
        <v>19</v>
      </c>
      <c r="G99" s="54" t="s">
        <v>27</v>
      </c>
      <c r="H99" s="55">
        <v>46295</v>
      </c>
      <c r="I99" s="56">
        <v>30</v>
      </c>
      <c r="J99" s="55">
        <f t="shared" si="2"/>
        <v>46325</v>
      </c>
      <c r="K99" s="54" t="s">
        <v>70</v>
      </c>
      <c r="L99" s="54" t="s">
        <v>22</v>
      </c>
      <c r="M99" s="54" t="s">
        <v>225</v>
      </c>
    </row>
    <row r="100" spans="1:13" x14ac:dyDescent="0.35">
      <c r="A100" s="54" t="s">
        <v>216</v>
      </c>
      <c r="B100" s="54" t="s">
        <v>56</v>
      </c>
      <c r="C100" s="56">
        <v>97</v>
      </c>
      <c r="D100" s="60" t="s">
        <v>226</v>
      </c>
      <c r="E100" s="54" t="s">
        <v>18</v>
      </c>
      <c r="F100" s="54" t="s">
        <v>19</v>
      </c>
      <c r="G100" s="54" t="s">
        <v>27</v>
      </c>
      <c r="H100" s="55">
        <v>46295</v>
      </c>
      <c r="I100" s="56">
        <v>30</v>
      </c>
      <c r="J100" s="55">
        <f t="shared" si="2"/>
        <v>46325</v>
      </c>
      <c r="K100" s="54" t="s">
        <v>70</v>
      </c>
      <c r="L100" s="54" t="s">
        <v>22</v>
      </c>
      <c r="M100" s="54"/>
    </row>
    <row r="101" spans="1:13" x14ac:dyDescent="0.35">
      <c r="A101" s="54" t="s">
        <v>216</v>
      </c>
      <c r="B101" s="54" t="s">
        <v>56</v>
      </c>
      <c r="C101" s="56">
        <v>98</v>
      </c>
      <c r="D101" s="60" t="s">
        <v>227</v>
      </c>
      <c r="E101" s="54" t="s">
        <v>18</v>
      </c>
      <c r="F101" s="54" t="s">
        <v>19</v>
      </c>
      <c r="G101" s="54" t="s">
        <v>20</v>
      </c>
      <c r="H101" s="55">
        <v>46295</v>
      </c>
      <c r="I101" s="56">
        <v>30</v>
      </c>
      <c r="J101" s="55">
        <f t="shared" ref="J101:J132" si="3">H101+I101</f>
        <v>46325</v>
      </c>
      <c r="K101" s="54" t="s">
        <v>70</v>
      </c>
      <c r="L101" s="54" t="s">
        <v>22</v>
      </c>
      <c r="M101" s="54"/>
    </row>
    <row r="102" spans="1:13" ht="29" customHeight="1" x14ac:dyDescent="0.35">
      <c r="A102" s="54" t="s">
        <v>86</v>
      </c>
      <c r="B102" s="54" t="s">
        <v>87</v>
      </c>
      <c r="C102" s="56">
        <v>99</v>
      </c>
      <c r="D102" s="60" t="s">
        <v>228</v>
      </c>
      <c r="E102" s="54" t="s">
        <v>89</v>
      </c>
      <c r="F102" s="54" t="s">
        <v>90</v>
      </c>
      <c r="G102" s="54" t="s">
        <v>90</v>
      </c>
      <c r="H102" s="55">
        <v>46295</v>
      </c>
      <c r="I102" s="56">
        <v>30</v>
      </c>
      <c r="J102" s="55">
        <f t="shared" si="3"/>
        <v>46325</v>
      </c>
      <c r="K102" s="54" t="s">
        <v>90</v>
      </c>
      <c r="L102" s="54" t="s">
        <v>90</v>
      </c>
      <c r="M102" s="54" t="s">
        <v>229</v>
      </c>
    </row>
    <row r="103" spans="1:13" x14ac:dyDescent="0.35">
      <c r="A103" s="54" t="s">
        <v>216</v>
      </c>
      <c r="B103" s="54" t="s">
        <v>230</v>
      </c>
      <c r="C103" s="56">
        <v>100</v>
      </c>
      <c r="D103" s="60" t="s">
        <v>231</v>
      </c>
      <c r="E103" s="54" t="s">
        <v>18</v>
      </c>
      <c r="F103" s="54" t="s">
        <v>19</v>
      </c>
      <c r="G103" s="54" t="s">
        <v>39</v>
      </c>
      <c r="H103" s="55">
        <v>46295</v>
      </c>
      <c r="I103" s="56">
        <v>30</v>
      </c>
      <c r="J103" s="55">
        <f t="shared" si="3"/>
        <v>46325</v>
      </c>
      <c r="K103" s="54" t="s">
        <v>70</v>
      </c>
      <c r="L103" s="54" t="s">
        <v>22</v>
      </c>
      <c r="M103" s="54"/>
    </row>
    <row r="104" spans="1:13" x14ac:dyDescent="0.35">
      <c r="A104" s="54" t="s">
        <v>216</v>
      </c>
      <c r="B104" s="54" t="s">
        <v>230</v>
      </c>
      <c r="C104" s="56">
        <v>101</v>
      </c>
      <c r="D104" s="60" t="s">
        <v>232</v>
      </c>
      <c r="E104" s="54" t="s">
        <v>18</v>
      </c>
      <c r="F104" s="54" t="s">
        <v>19</v>
      </c>
      <c r="G104" s="54" t="s">
        <v>39</v>
      </c>
      <c r="H104" s="55">
        <v>46295</v>
      </c>
      <c r="I104" s="56">
        <v>30</v>
      </c>
      <c r="J104" s="55">
        <f t="shared" si="3"/>
        <v>46325</v>
      </c>
      <c r="K104" s="54" t="s">
        <v>70</v>
      </c>
      <c r="L104" s="54" t="s">
        <v>22</v>
      </c>
      <c r="M104" s="54"/>
    </row>
    <row r="105" spans="1:13" x14ac:dyDescent="0.35">
      <c r="A105" s="54" t="s">
        <v>216</v>
      </c>
      <c r="B105" s="54" t="s">
        <v>230</v>
      </c>
      <c r="C105" s="56">
        <v>102</v>
      </c>
      <c r="D105" s="60" t="s">
        <v>233</v>
      </c>
      <c r="E105" s="54" t="s">
        <v>18</v>
      </c>
      <c r="F105" s="54" t="s">
        <v>19</v>
      </c>
      <c r="G105" s="54" t="s">
        <v>35</v>
      </c>
      <c r="H105" s="55">
        <v>46295</v>
      </c>
      <c r="I105" s="56">
        <v>30</v>
      </c>
      <c r="J105" s="55">
        <f t="shared" si="3"/>
        <v>46325</v>
      </c>
      <c r="K105" s="54" t="s">
        <v>70</v>
      </c>
      <c r="L105" s="54" t="s">
        <v>36</v>
      </c>
      <c r="M105" s="54"/>
    </row>
    <row r="106" spans="1:13" x14ac:dyDescent="0.35">
      <c r="A106" s="54" t="s">
        <v>216</v>
      </c>
      <c r="B106" s="54" t="s">
        <v>230</v>
      </c>
      <c r="C106" s="56">
        <v>103</v>
      </c>
      <c r="D106" s="60" t="s">
        <v>234</v>
      </c>
      <c r="E106" s="54" t="s">
        <v>18</v>
      </c>
      <c r="F106" s="54" t="s">
        <v>19</v>
      </c>
      <c r="G106" s="54" t="s">
        <v>39</v>
      </c>
      <c r="H106" s="55">
        <v>46295</v>
      </c>
      <c r="I106" s="56">
        <v>30</v>
      </c>
      <c r="J106" s="55">
        <f t="shared" si="3"/>
        <v>46325</v>
      </c>
      <c r="K106" s="54" t="s">
        <v>70</v>
      </c>
      <c r="L106" s="54" t="s">
        <v>22</v>
      </c>
      <c r="M106" s="54"/>
    </row>
    <row r="107" spans="1:13" x14ac:dyDescent="0.35">
      <c r="A107" s="54" t="s">
        <v>216</v>
      </c>
      <c r="B107" s="54" t="s">
        <v>230</v>
      </c>
      <c r="C107" s="56">
        <v>104</v>
      </c>
      <c r="D107" s="60" t="s">
        <v>235</v>
      </c>
      <c r="E107" s="54" t="s">
        <v>18</v>
      </c>
      <c r="F107" s="54" t="s">
        <v>19</v>
      </c>
      <c r="G107" s="54" t="s">
        <v>39</v>
      </c>
      <c r="H107" s="55">
        <v>46295</v>
      </c>
      <c r="I107" s="56">
        <v>30</v>
      </c>
      <c r="J107" s="55">
        <f t="shared" si="3"/>
        <v>46325</v>
      </c>
      <c r="K107" s="54" t="s">
        <v>70</v>
      </c>
      <c r="L107" s="54" t="s">
        <v>22</v>
      </c>
      <c r="M107" s="54"/>
    </row>
    <row r="108" spans="1:13" x14ac:dyDescent="0.35">
      <c r="A108" s="54" t="s">
        <v>216</v>
      </c>
      <c r="B108" s="54" t="s">
        <v>230</v>
      </c>
      <c r="C108" s="56">
        <v>105</v>
      </c>
      <c r="D108" s="60" t="s">
        <v>236</v>
      </c>
      <c r="E108" s="54" t="s">
        <v>18</v>
      </c>
      <c r="F108" s="54" t="s">
        <v>19</v>
      </c>
      <c r="G108" s="54" t="s">
        <v>27</v>
      </c>
      <c r="H108" s="55">
        <v>46295</v>
      </c>
      <c r="I108" s="56">
        <v>30</v>
      </c>
      <c r="J108" s="55">
        <f t="shared" si="3"/>
        <v>46325</v>
      </c>
      <c r="K108" s="54" t="s">
        <v>70</v>
      </c>
      <c r="L108" s="54" t="s">
        <v>22</v>
      </c>
      <c r="M108" s="54" t="s">
        <v>237</v>
      </c>
    </row>
    <row r="109" spans="1:13" x14ac:dyDescent="0.35">
      <c r="A109" s="54" t="s">
        <v>216</v>
      </c>
      <c r="B109" s="54" t="s">
        <v>230</v>
      </c>
      <c r="C109" s="56">
        <v>106</v>
      </c>
      <c r="D109" s="60" t="s">
        <v>238</v>
      </c>
      <c r="E109" s="54" t="s">
        <v>18</v>
      </c>
      <c r="F109" s="54" t="s">
        <v>19</v>
      </c>
      <c r="G109" s="54" t="s">
        <v>35</v>
      </c>
      <c r="H109" s="55">
        <v>46295</v>
      </c>
      <c r="I109" s="56">
        <v>30</v>
      </c>
      <c r="J109" s="55">
        <f t="shared" si="3"/>
        <v>46325</v>
      </c>
      <c r="K109" s="54" t="s">
        <v>70</v>
      </c>
      <c r="L109" s="54" t="s">
        <v>36</v>
      </c>
      <c r="M109" s="54"/>
    </row>
    <row r="110" spans="1:13" x14ac:dyDescent="0.35">
      <c r="A110" s="54" t="s">
        <v>216</v>
      </c>
      <c r="B110" s="54" t="s">
        <v>230</v>
      </c>
      <c r="C110" s="56">
        <v>107</v>
      </c>
      <c r="D110" s="60" t="s">
        <v>239</v>
      </c>
      <c r="E110" s="54" t="s">
        <v>18</v>
      </c>
      <c r="F110" s="54" t="s">
        <v>19</v>
      </c>
      <c r="G110" s="54" t="s">
        <v>39</v>
      </c>
      <c r="H110" s="55">
        <v>46295</v>
      </c>
      <c r="I110" s="56">
        <v>30</v>
      </c>
      <c r="J110" s="55">
        <f t="shared" si="3"/>
        <v>46325</v>
      </c>
      <c r="K110" s="54" t="s">
        <v>70</v>
      </c>
      <c r="L110" s="54" t="s">
        <v>36</v>
      </c>
      <c r="M110" s="54" t="s">
        <v>240</v>
      </c>
    </row>
    <row r="111" spans="1:13" x14ac:dyDescent="0.35">
      <c r="A111" s="54" t="s">
        <v>92</v>
      </c>
      <c r="B111" s="54" t="s">
        <v>241</v>
      </c>
      <c r="C111" s="56">
        <v>108</v>
      </c>
      <c r="D111" s="60" t="s">
        <v>242</v>
      </c>
      <c r="E111" s="54" t="s">
        <v>18</v>
      </c>
      <c r="F111" s="54" t="s">
        <v>19</v>
      </c>
      <c r="G111" s="54" t="s">
        <v>35</v>
      </c>
      <c r="H111" s="55">
        <v>46295</v>
      </c>
      <c r="I111" s="56">
        <v>30</v>
      </c>
      <c r="J111" s="55">
        <f t="shared" si="3"/>
        <v>46325</v>
      </c>
      <c r="K111" s="54" t="s">
        <v>70</v>
      </c>
      <c r="L111" s="54" t="s">
        <v>36</v>
      </c>
      <c r="M111" s="54" t="s">
        <v>243</v>
      </c>
    </row>
    <row r="112" spans="1:13" ht="29" customHeight="1" x14ac:dyDescent="0.35">
      <c r="A112" s="54" t="s">
        <v>216</v>
      </c>
      <c r="B112" s="54" t="s">
        <v>171</v>
      </c>
      <c r="C112" s="56">
        <v>109</v>
      </c>
      <c r="D112" s="60" t="s">
        <v>244</v>
      </c>
      <c r="E112" s="54" t="s">
        <v>169</v>
      </c>
      <c r="F112" s="54" t="s">
        <v>19</v>
      </c>
      <c r="G112" s="54" t="s">
        <v>20</v>
      </c>
      <c r="H112" s="55">
        <v>46325</v>
      </c>
      <c r="I112" s="56">
        <v>2</v>
      </c>
      <c r="J112" s="55">
        <f t="shared" si="3"/>
        <v>46327</v>
      </c>
      <c r="K112" s="54" t="s">
        <v>70</v>
      </c>
      <c r="L112" s="54" t="s">
        <v>22</v>
      </c>
      <c r="M112" s="54" t="s">
        <v>245</v>
      </c>
    </row>
    <row r="113" spans="1:13" x14ac:dyDescent="0.35">
      <c r="A113" s="54" t="s">
        <v>216</v>
      </c>
      <c r="B113" s="54" t="s">
        <v>171</v>
      </c>
      <c r="C113" s="56">
        <v>110</v>
      </c>
      <c r="D113" s="60" t="s">
        <v>246</v>
      </c>
      <c r="E113" s="54" t="s">
        <v>169</v>
      </c>
      <c r="F113" s="54" t="s">
        <v>19</v>
      </c>
      <c r="G113" s="54" t="s">
        <v>20</v>
      </c>
      <c r="H113" s="55">
        <v>46325</v>
      </c>
      <c r="I113" s="56">
        <v>2</v>
      </c>
      <c r="J113" s="55">
        <f t="shared" si="3"/>
        <v>46327</v>
      </c>
      <c r="K113" s="54" t="s">
        <v>70</v>
      </c>
      <c r="L113" s="54" t="s">
        <v>22</v>
      </c>
      <c r="M113" s="54"/>
    </row>
    <row r="114" spans="1:13" ht="29" customHeight="1" x14ac:dyDescent="0.35">
      <c r="A114" s="54" t="s">
        <v>216</v>
      </c>
      <c r="B114" s="54" t="s">
        <v>171</v>
      </c>
      <c r="C114" s="56">
        <v>111</v>
      </c>
      <c r="D114" s="60" t="s">
        <v>247</v>
      </c>
      <c r="E114" s="54" t="s">
        <v>169</v>
      </c>
      <c r="F114" s="54" t="s">
        <v>19</v>
      </c>
      <c r="G114" s="54" t="s">
        <v>20</v>
      </c>
      <c r="H114" s="55">
        <v>46325</v>
      </c>
      <c r="I114" s="56">
        <v>2</v>
      </c>
      <c r="J114" s="55">
        <f t="shared" si="3"/>
        <v>46327</v>
      </c>
      <c r="K114" s="54" t="s">
        <v>70</v>
      </c>
      <c r="L114" s="54" t="s">
        <v>22</v>
      </c>
      <c r="M114" s="54"/>
    </row>
    <row r="115" spans="1:13" ht="29" customHeight="1" x14ac:dyDescent="0.35">
      <c r="A115" s="54" t="s">
        <v>216</v>
      </c>
      <c r="B115" s="54" t="s">
        <v>171</v>
      </c>
      <c r="C115" s="56">
        <v>112</v>
      </c>
      <c r="D115" s="60" t="s">
        <v>248</v>
      </c>
      <c r="E115" s="54" t="s">
        <v>169</v>
      </c>
      <c r="F115" s="54" t="s">
        <v>19</v>
      </c>
      <c r="G115" s="54" t="s">
        <v>20</v>
      </c>
      <c r="H115" s="55">
        <v>46325</v>
      </c>
      <c r="I115" s="56">
        <v>2</v>
      </c>
      <c r="J115" s="55">
        <f t="shared" si="3"/>
        <v>46327</v>
      </c>
      <c r="K115" s="54" t="s">
        <v>70</v>
      </c>
      <c r="L115" s="54" t="s">
        <v>22</v>
      </c>
      <c r="M115" s="54"/>
    </row>
    <row r="116" spans="1:13" ht="29" customHeight="1" x14ac:dyDescent="0.35">
      <c r="A116" s="54" t="s">
        <v>216</v>
      </c>
      <c r="B116" s="54" t="s">
        <v>171</v>
      </c>
      <c r="C116" s="56">
        <v>113</v>
      </c>
      <c r="D116" s="60" t="s">
        <v>249</v>
      </c>
      <c r="E116" s="54" t="s">
        <v>169</v>
      </c>
      <c r="F116" s="54" t="s">
        <v>19</v>
      </c>
      <c r="G116" s="54" t="s">
        <v>20</v>
      </c>
      <c r="H116" s="55">
        <v>46325</v>
      </c>
      <c r="I116" s="56">
        <v>2</v>
      </c>
      <c r="J116" s="55">
        <f t="shared" si="3"/>
        <v>46327</v>
      </c>
      <c r="K116" s="54" t="s">
        <v>70</v>
      </c>
      <c r="L116" s="54" t="s">
        <v>22</v>
      </c>
      <c r="M116" s="54" t="s">
        <v>250</v>
      </c>
    </row>
    <row r="117" spans="1:13" ht="29" customHeight="1" x14ac:dyDescent="0.35">
      <c r="A117" s="54" t="s">
        <v>86</v>
      </c>
      <c r="B117" s="54" t="s">
        <v>87</v>
      </c>
      <c r="C117" s="56">
        <v>114</v>
      </c>
      <c r="D117" s="60" t="s">
        <v>251</v>
      </c>
      <c r="E117" s="54" t="s">
        <v>89</v>
      </c>
      <c r="F117" s="54" t="s">
        <v>90</v>
      </c>
      <c r="G117" s="54" t="s">
        <v>90</v>
      </c>
      <c r="H117" s="55">
        <v>46341</v>
      </c>
      <c r="I117" s="56">
        <v>1</v>
      </c>
      <c r="J117" s="55">
        <f t="shared" si="3"/>
        <v>46342</v>
      </c>
      <c r="K117" s="54" t="s">
        <v>90</v>
      </c>
      <c r="L117" s="54" t="s">
        <v>90</v>
      </c>
      <c r="M117" s="54" t="s">
        <v>252</v>
      </c>
    </row>
    <row r="118" spans="1:13" ht="29" customHeight="1" x14ac:dyDescent="0.35">
      <c r="A118" s="54" t="s">
        <v>86</v>
      </c>
      <c r="B118" s="54" t="s">
        <v>87</v>
      </c>
      <c r="C118" s="56">
        <v>115</v>
      </c>
      <c r="D118" s="60" t="s">
        <v>253</v>
      </c>
      <c r="E118" s="54" t="s">
        <v>89</v>
      </c>
      <c r="F118" s="54" t="s">
        <v>90</v>
      </c>
      <c r="G118" s="54" t="s">
        <v>90</v>
      </c>
      <c r="H118" s="55">
        <v>46341</v>
      </c>
      <c r="I118" s="56">
        <v>1</v>
      </c>
      <c r="J118" s="55">
        <f t="shared" si="3"/>
        <v>46342</v>
      </c>
      <c r="K118" s="54" t="s">
        <v>90</v>
      </c>
      <c r="L118" s="54" t="s">
        <v>90</v>
      </c>
      <c r="M118" s="54" t="s">
        <v>254</v>
      </c>
    </row>
    <row r="119" spans="1:13" ht="29" customHeight="1" x14ac:dyDescent="0.35">
      <c r="A119" s="54" t="s">
        <v>255</v>
      </c>
      <c r="B119" s="54" t="s">
        <v>256</v>
      </c>
      <c r="C119" s="56">
        <v>116</v>
      </c>
      <c r="D119" s="60" t="s">
        <v>257</v>
      </c>
      <c r="E119" s="54" t="s">
        <v>258</v>
      </c>
      <c r="F119" s="54" t="s">
        <v>90</v>
      </c>
      <c r="G119" s="54" t="s">
        <v>90</v>
      </c>
      <c r="H119" s="55">
        <v>46341</v>
      </c>
      <c r="I119" s="56">
        <v>14</v>
      </c>
      <c r="J119" s="55">
        <f t="shared" si="3"/>
        <v>46355</v>
      </c>
      <c r="K119" s="54" t="s">
        <v>90</v>
      </c>
      <c r="L119" s="54" t="s">
        <v>90</v>
      </c>
      <c r="M119" s="54" t="s">
        <v>259</v>
      </c>
    </row>
    <row r="120" spans="1:13" ht="29" customHeight="1" x14ac:dyDescent="0.35">
      <c r="A120" s="54" t="s">
        <v>255</v>
      </c>
      <c r="B120" s="54" t="s">
        <v>256</v>
      </c>
      <c r="C120" s="56">
        <v>117</v>
      </c>
      <c r="D120" s="60" t="s">
        <v>260</v>
      </c>
      <c r="E120" s="54" t="s">
        <v>258</v>
      </c>
      <c r="F120" s="54" t="s">
        <v>90</v>
      </c>
      <c r="G120" s="54" t="s">
        <v>90</v>
      </c>
      <c r="H120" s="55">
        <v>46341</v>
      </c>
      <c r="I120" s="56">
        <v>14</v>
      </c>
      <c r="J120" s="55">
        <f t="shared" si="3"/>
        <v>46355</v>
      </c>
      <c r="K120" s="54" t="s">
        <v>90</v>
      </c>
      <c r="L120" s="54" t="s">
        <v>90</v>
      </c>
      <c r="M120" s="54" t="s">
        <v>261</v>
      </c>
    </row>
    <row r="121" spans="1:13" ht="29" customHeight="1" x14ac:dyDescent="0.35">
      <c r="A121" s="54" t="s">
        <v>255</v>
      </c>
      <c r="B121" s="54" t="s">
        <v>256</v>
      </c>
      <c r="C121" s="56">
        <v>118</v>
      </c>
      <c r="D121" s="60" t="s">
        <v>262</v>
      </c>
      <c r="E121" s="54" t="s">
        <v>258</v>
      </c>
      <c r="F121" s="54" t="s">
        <v>90</v>
      </c>
      <c r="G121" s="54" t="s">
        <v>90</v>
      </c>
      <c r="H121" s="55">
        <v>46341</v>
      </c>
      <c r="I121" s="56">
        <v>14</v>
      </c>
      <c r="J121" s="55">
        <f t="shared" si="3"/>
        <v>46355</v>
      </c>
      <c r="K121" s="54" t="s">
        <v>90</v>
      </c>
      <c r="L121" s="54" t="s">
        <v>90</v>
      </c>
      <c r="M121" s="54" t="s">
        <v>263</v>
      </c>
    </row>
    <row r="122" spans="1:13" ht="29" customHeight="1" x14ac:dyDescent="0.35">
      <c r="A122" s="54" t="s">
        <v>255</v>
      </c>
      <c r="B122" s="54" t="s">
        <v>256</v>
      </c>
      <c r="C122" s="56">
        <v>119</v>
      </c>
      <c r="D122" s="60" t="s">
        <v>264</v>
      </c>
      <c r="E122" s="54" t="s">
        <v>258</v>
      </c>
      <c r="F122" s="54" t="s">
        <v>90</v>
      </c>
      <c r="G122" s="54" t="s">
        <v>90</v>
      </c>
      <c r="H122" s="55">
        <v>46341</v>
      </c>
      <c r="I122" s="56">
        <v>14</v>
      </c>
      <c r="J122" s="55">
        <f t="shared" si="3"/>
        <v>46355</v>
      </c>
      <c r="K122" s="54" t="s">
        <v>90</v>
      </c>
      <c r="L122" s="54" t="s">
        <v>90</v>
      </c>
      <c r="M122" s="54" t="s">
        <v>265</v>
      </c>
    </row>
    <row r="123" spans="1:13" ht="29" customHeight="1" x14ac:dyDescent="0.35">
      <c r="A123" s="54" t="s">
        <v>255</v>
      </c>
      <c r="B123" s="54" t="s">
        <v>256</v>
      </c>
      <c r="C123" s="56">
        <v>120</v>
      </c>
      <c r="D123" s="60" t="s">
        <v>266</v>
      </c>
      <c r="E123" s="54" t="s">
        <v>258</v>
      </c>
      <c r="F123" s="54" t="s">
        <v>90</v>
      </c>
      <c r="G123" s="54" t="s">
        <v>90</v>
      </c>
      <c r="H123" s="55">
        <v>46341</v>
      </c>
      <c r="I123" s="56">
        <v>14</v>
      </c>
      <c r="J123" s="55">
        <f t="shared" si="3"/>
        <v>46355</v>
      </c>
      <c r="K123" s="54" t="s">
        <v>90</v>
      </c>
      <c r="L123" s="54" t="s">
        <v>90</v>
      </c>
      <c r="M123" s="54" t="s">
        <v>267</v>
      </c>
    </row>
    <row r="124" spans="1:13" ht="29" customHeight="1" x14ac:dyDescent="0.35">
      <c r="A124" s="54" t="s">
        <v>255</v>
      </c>
      <c r="B124" s="54" t="s">
        <v>256</v>
      </c>
      <c r="C124" s="56">
        <v>121</v>
      </c>
      <c r="D124" s="60" t="s">
        <v>268</v>
      </c>
      <c r="E124" s="54" t="s">
        <v>258</v>
      </c>
      <c r="F124" s="54" t="s">
        <v>90</v>
      </c>
      <c r="G124" s="54" t="s">
        <v>90</v>
      </c>
      <c r="H124" s="55">
        <v>46341</v>
      </c>
      <c r="I124" s="56">
        <v>14</v>
      </c>
      <c r="J124" s="55">
        <f t="shared" si="3"/>
        <v>46355</v>
      </c>
      <c r="K124" s="54" t="s">
        <v>70</v>
      </c>
      <c r="L124" s="54" t="s">
        <v>90</v>
      </c>
      <c r="M124" s="54" t="s">
        <v>269</v>
      </c>
    </row>
    <row r="125" spans="1:13" ht="43.5" customHeight="1" x14ac:dyDescent="0.35">
      <c r="A125" s="54" t="s">
        <v>15</v>
      </c>
      <c r="B125" s="54" t="s">
        <v>270</v>
      </c>
      <c r="C125" s="56">
        <v>122</v>
      </c>
      <c r="D125" s="60" t="s">
        <v>271</v>
      </c>
      <c r="E125" s="54" t="s">
        <v>18</v>
      </c>
      <c r="F125" s="54" t="s">
        <v>19</v>
      </c>
      <c r="G125" s="54" t="s">
        <v>39</v>
      </c>
      <c r="H125" s="55">
        <v>46243</v>
      </c>
      <c r="I125" s="56">
        <v>5</v>
      </c>
      <c r="J125" s="55">
        <f t="shared" si="3"/>
        <v>46248</v>
      </c>
      <c r="K125" s="54" t="s">
        <v>70</v>
      </c>
      <c r="L125" s="54" t="s">
        <v>22</v>
      </c>
      <c r="M125" s="54" t="s">
        <v>272</v>
      </c>
    </row>
    <row r="126" spans="1:13" ht="29" customHeight="1" x14ac:dyDescent="0.35">
      <c r="A126" s="54" t="s">
        <v>15</v>
      </c>
      <c r="B126" s="54" t="s">
        <v>217</v>
      </c>
      <c r="C126" s="56">
        <v>123</v>
      </c>
      <c r="D126" s="60" t="s">
        <v>273</v>
      </c>
      <c r="E126" s="54" t="s">
        <v>18</v>
      </c>
      <c r="F126" s="54" t="s">
        <v>19</v>
      </c>
      <c r="G126" s="54" t="s">
        <v>39</v>
      </c>
      <c r="H126" s="55">
        <v>46243</v>
      </c>
      <c r="I126" s="56">
        <v>5</v>
      </c>
      <c r="J126" s="55">
        <f t="shared" si="3"/>
        <v>46248</v>
      </c>
      <c r="K126" s="54" t="s">
        <v>70</v>
      </c>
      <c r="L126" s="54" t="s">
        <v>36</v>
      </c>
      <c r="M126" s="54" t="s">
        <v>274</v>
      </c>
    </row>
    <row r="127" spans="1:13" ht="58" x14ac:dyDescent="0.35">
      <c r="A127" s="54" t="s">
        <v>255</v>
      </c>
      <c r="B127" s="54" t="s">
        <v>256</v>
      </c>
      <c r="C127" s="56">
        <v>124</v>
      </c>
      <c r="D127" s="60" t="s">
        <v>275</v>
      </c>
      <c r="E127" s="54" t="s">
        <v>258</v>
      </c>
      <c r="F127" s="54" t="s">
        <v>90</v>
      </c>
      <c r="G127" s="54" t="s">
        <v>90</v>
      </c>
      <c r="H127" s="55">
        <v>46341</v>
      </c>
      <c r="I127" s="56">
        <v>14</v>
      </c>
      <c r="J127" s="55">
        <f t="shared" si="3"/>
        <v>46355</v>
      </c>
      <c r="K127" s="54" t="s">
        <v>70</v>
      </c>
      <c r="L127" s="54" t="s">
        <v>90</v>
      </c>
      <c r="M127" s="54" t="s">
        <v>276</v>
      </c>
    </row>
    <row r="128" spans="1:13" x14ac:dyDescent="0.35">
      <c r="C128" s="64"/>
    </row>
    <row r="129" spans="1:13" x14ac:dyDescent="0.35">
      <c r="A129" s="46" t="s">
        <v>277</v>
      </c>
      <c r="B129" s="46"/>
      <c r="C129" s="65"/>
      <c r="D129" s="61"/>
      <c r="E129" s="46"/>
      <c r="F129" s="46"/>
      <c r="G129" s="46"/>
      <c r="H129" s="46"/>
      <c r="I129" s="46"/>
      <c r="J129" s="46"/>
      <c r="K129" s="46"/>
      <c r="L129" s="46"/>
      <c r="M129" s="46"/>
    </row>
    <row r="130" spans="1:13" x14ac:dyDescent="0.35">
      <c r="A130" s="47" t="s">
        <v>278</v>
      </c>
      <c r="B130" s="49">
        <f>COUNTA(D5:D127)</f>
        <v>123</v>
      </c>
      <c r="C130" s="66"/>
      <c r="D130" s="62"/>
      <c r="E130" s="45"/>
      <c r="F130" s="45"/>
      <c r="G130" s="45"/>
      <c r="H130" s="45"/>
      <c r="I130" s="45"/>
      <c r="J130" s="45"/>
      <c r="K130" s="45"/>
      <c r="L130" s="45"/>
      <c r="M130" s="45"/>
    </row>
    <row r="131" spans="1:13" x14ac:dyDescent="0.35">
      <c r="A131" s="48" t="s">
        <v>21</v>
      </c>
      <c r="B131" s="50">
        <f>COUNTIF(K5:K127,"Complete")</f>
        <v>22</v>
      </c>
      <c r="C131" s="67"/>
      <c r="D131" s="62"/>
      <c r="E131" s="45"/>
      <c r="F131" s="45"/>
      <c r="G131" s="45"/>
      <c r="H131" s="45"/>
      <c r="I131" s="45"/>
      <c r="J131" s="45"/>
      <c r="K131" s="45"/>
      <c r="L131" s="45"/>
      <c r="M131" s="45"/>
    </row>
    <row r="132" spans="1:13" x14ac:dyDescent="0.35">
      <c r="A132" s="48" t="s">
        <v>279</v>
      </c>
      <c r="B132" s="50">
        <f>COUNTIFS(L5:L127,"Yes",K5:K127,"&lt;&gt;Complete")</f>
        <v>35</v>
      </c>
      <c r="C132" s="67"/>
      <c r="D132" s="62"/>
      <c r="E132" s="45"/>
      <c r="F132" s="45"/>
      <c r="G132" s="45"/>
      <c r="H132" s="45"/>
      <c r="I132" s="45"/>
      <c r="J132" s="45"/>
      <c r="K132" s="45"/>
      <c r="L132" s="45"/>
      <c r="M132" s="45"/>
    </row>
    <row r="133" spans="1:13" x14ac:dyDescent="0.35">
      <c r="A133" s="48" t="s">
        <v>280</v>
      </c>
      <c r="B133" s="50">
        <f>COUNTIFS(E5:E127,"GATE",K5:K127,"&lt;&gt;Complete")</f>
        <v>15</v>
      </c>
      <c r="C133" s="67"/>
      <c r="D133" s="62"/>
      <c r="E133" s="45"/>
      <c r="F133" s="45"/>
      <c r="G133" s="45"/>
      <c r="H133" s="45"/>
      <c r="I133" s="45"/>
      <c r="J133" s="45"/>
      <c r="K133" s="45"/>
      <c r="L133" s="45"/>
      <c r="M133" s="45"/>
    </row>
  </sheetData>
  <mergeCells count="1">
    <mergeCell ref="A1:N1"/>
  </mergeCells>
  <conditionalFormatting sqref="A5:M126">
    <cfRule type="expression" dxfId="23" priority="38">
      <formula>$E5="GATE"</formula>
    </cfRule>
    <cfRule type="expression" dxfId="22" priority="39">
      <formula>$E5="Milestone"</formula>
    </cfRule>
    <cfRule type="expression" dxfId="21" priority="40">
      <formula>$E5="Reference"</formula>
    </cfRule>
    <cfRule type="expression" dxfId="20" priority="49">
      <formula>$A5="PWA"</formula>
    </cfRule>
    <cfRule type="expression" dxfId="19" priority="50">
      <formula>$A5="Analytics &amp; Support"</formula>
    </cfRule>
    <cfRule type="expression" dxfId="18" priority="51">
      <formula>$A5="User Funnel"</formula>
    </cfRule>
    <cfRule type="expression" dxfId="17" priority="52">
      <formula>$A5="Alpha"</formula>
    </cfRule>
    <cfRule type="expression" dxfId="16" priority="53">
      <formula>$A5="Social &amp; Content"</formula>
    </cfRule>
    <cfRule type="expression" dxfId="15" priority="54">
      <formula>$A5="Business Readiness"</formula>
    </cfRule>
    <cfRule type="expression" dxfId="14" priority="55">
      <formula>$A5="Launch Day"</formula>
    </cfRule>
    <cfRule type="expression" dxfId="13" priority="56">
      <formula>$A5="Risk"</formula>
    </cfRule>
    <cfRule type="expression" dxfId="12" priority="57">
      <formula>$A5="App Store"</formula>
    </cfRule>
    <cfRule type="expression" dxfId="11" priority="58">
      <formula>$A5="Post-Launch Backlog"</formula>
    </cfRule>
    <cfRule type="expression" dxfId="10" priority="59">
      <formula>$E5="GATE"</formula>
    </cfRule>
    <cfRule type="expression" dxfId="9" priority="60">
      <formula>$E5="Milestone"</formula>
    </cfRule>
    <cfRule type="expression" dxfId="8" priority="61">
      <formula>$E5="Reference"</formula>
    </cfRule>
  </conditionalFormatting>
  <conditionalFormatting sqref="G5:G126">
    <cfRule type="containsText" dxfId="7" priority="46" operator="containsText" text="Critical"/>
    <cfRule type="containsText" dxfId="6" priority="47" operator="containsText" text="High"/>
    <cfRule type="containsText" dxfId="5" priority="48" operator="containsText" text="Medium"/>
  </conditionalFormatting>
  <conditionalFormatting sqref="K5:K126">
    <cfRule type="containsText" dxfId="4" priority="41" operator="containsText" text="Complete"/>
    <cfRule type="containsText" dxfId="3" priority="42" operator="containsText" text="In Progress"/>
    <cfRule type="containsText" dxfId="2" priority="43" operator="containsText" text="Not Started"/>
  </conditionalFormatting>
  <conditionalFormatting sqref="L5:L126">
    <cfRule type="containsText" dxfId="1" priority="44" operator="containsText" text="Yes"/>
    <cfRule type="containsText" dxfId="0" priority="45" operator="containsText" text="For App Store"/>
  </conditionalFormatting>
  <dataValidations count="3">
    <dataValidation type="list" allowBlank="1" sqref="K5:K127" xr:uid="{00000000-0002-0000-0100-000000000000}">
      <formula1>"Not Started,In Progress,Blocked,Complete,Deferred,N/A"</formula1>
    </dataValidation>
    <dataValidation type="list" allowBlank="1" sqref="G5:G127" xr:uid="{00000000-0002-0000-0100-000001000000}">
      <formula1>"Critical,High,Medium,Low,-"</formula1>
    </dataValidation>
    <dataValidation type="date" allowBlank="1" sqref="H5:H127 J5:J127" xr:uid="{00000000-0002-0000-0100-000002000000}">
      <formula1>46243</formula1>
      <formula2>46512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Executive Dashboard</vt:lpstr>
      <vt:lpstr>Launch Plan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AKB</cp:lastModifiedBy>
  <dcterms:created xsi:type="dcterms:W3CDTF">2026-08-15T19:29:54Z</dcterms:created>
  <dcterms:modified xsi:type="dcterms:W3CDTF">2026-08-29T13:05:33Z</dcterms:modified>
</cp:coreProperties>
</file>